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1550" windowHeight="10080" tabRatio="669"/>
  </bookViews>
  <sheets>
    <sheet name="模板1" sheetId="1" r:id="rId1"/>
    <sheet name="模板2" sheetId="2" r:id="rId2"/>
    <sheet name="全光组网" sheetId="3" r:id="rId3"/>
    <sheet name="高套" sheetId="4" r:id="rId4"/>
    <sheet name="主从网关数" sheetId="5" r:id="rId5"/>
    <sheet name="完美一单" sheetId="6" r:id="rId6"/>
    <sheet name="红黄牌高套" sheetId="7" r:id="rId7"/>
    <sheet name="商机统计" sheetId="8" r:id="rId8"/>
    <sheet name="交付高装" sheetId="9" r:id="rId9"/>
    <sheet name="高装高套" sheetId="10" r:id="rId1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<sst xmlns="http://schemas.openxmlformats.org/spreadsheetml/2006/main" count="522" uniqueCount="137">
  <si>
    <t>团队</t>
  </si>
  <si>
    <t>高套</t>
  </si>
  <si>
    <t>完美一单积分</t>
  </si>
  <si>
    <t>全光组网</t>
  </si>
  <si>
    <t>发展户数=cust id个数</t>
  </si>
  <si>
    <t>客户经理</t>
  </si>
  <si>
    <t>政企高套目标（挂钩600元）</t>
  </si>
  <si>
    <t>政企高套发展</t>
  </si>
  <si>
    <t>政企高套完成率</t>
  </si>
  <si>
    <t>揽装高套（红黄牌考核）</t>
  </si>
  <si>
    <t>黄牌预警（低于3户）</t>
  </si>
  <si>
    <t>政企高套揽装占比</t>
  </si>
  <si>
    <t>积分完成</t>
  </si>
  <si>
    <t>积分任务值</t>
  </si>
  <si>
    <t>时间进度完成率</t>
  </si>
  <si>
    <t>排名</t>
  </si>
  <si>
    <t>新增积分（全业务）</t>
  </si>
  <si>
    <t>新增积分及月度增量积分均&lt;550 分</t>
  </si>
  <si>
    <t>发展目标</t>
  </si>
  <si>
    <t>主从网关数</t>
  </si>
  <si>
    <t>完成率</t>
  </si>
  <si>
    <t>高套、积分可从02_326完美一单报表中取数（待上线）
高套语句：新装：select * from zone_zq.ads_feng_skj_gt_new_list_d  where rn=1  and 
  disc_divide_market_6_dl_name in('校园市场','行业客户');
堡垒：select * from zone_zq.ads_pan_gc_338_blmb_new where mix_rn=1  and 
  disc_divide_market_6_dl_name in('校园市场','行业客户');</t>
  </si>
  <si>
    <t>党政军
团队</t>
  </si>
  <si>
    <t>钟俊杰</t>
  </si>
  <si>
    <t>麦海芬</t>
  </si>
  <si>
    <t>黄淡妮</t>
  </si>
  <si>
    <t>邱海燕</t>
  </si>
  <si>
    <t>李东</t>
  </si>
  <si>
    <t>王锦添</t>
  </si>
  <si>
    <t>黄观霞</t>
  </si>
  <si>
    <t>团队合计</t>
  </si>
  <si>
    <t>大企业
团队</t>
  </si>
  <si>
    <t>冯艺康</t>
  </si>
  <si>
    <t>谢卓和</t>
  </si>
  <si>
    <t>伍颖敏</t>
  </si>
  <si>
    <t>潘观友</t>
  </si>
  <si>
    <t>李玉强</t>
  </si>
  <si>
    <t>张小敏</t>
  </si>
  <si>
    <t>具进康</t>
  </si>
  <si>
    <t>合计</t>
  </si>
  <si>
    <t>政企</t>
  </si>
  <si>
    <t>端州</t>
  </si>
  <si>
    <t xml:space="preserve">  </t>
  </si>
  <si>
    <t>📊 累计商机统计表（所有数据）</t>
  </si>
  <si>
    <t>户数</t>
  </si>
  <si>
    <t>高套累计数</t>
  </si>
  <si>
    <t>积分累计数</t>
  </si>
  <si>
    <t>岗位角色</t>
  </si>
  <si>
    <t>姓名</t>
  </si>
  <si>
    <t>高套目标</t>
  </si>
  <si>
    <t>高套发展数</t>
  </si>
  <si>
    <t>高端装维</t>
  </si>
  <si>
    <t>3、商机挖掘时间通报</t>
  </si>
  <si>
    <t>商机打卡指标（1日1商机）</t>
  </si>
  <si>
    <t>有效商机指标（80%达标）</t>
  </si>
  <si>
    <t>商机任务值</t>
  </si>
  <si>
    <t>打卡商机数</t>
  </si>
  <si>
    <t>商机完成率</t>
  </si>
  <si>
    <t>当月有效商机</t>
  </si>
  <si>
    <t>本月有效商机转化数</t>
  </si>
  <si>
    <t>有效商机转化
（达标值）</t>
  </si>
  <si>
    <t>取数来源：标准化一套表中：4-《客户经理商机管控表》</t>
  </si>
  <si>
    <t>一组</t>
  </si>
  <si>
    <t>协同CP发展的主从网关数</t>
  </si>
  <si>
    <t>智云工程师</t>
  </si>
  <si>
    <t>零樑</t>
  </si>
  <si>
    <t>何而恒</t>
  </si>
  <si>
    <t>魏垚晖</t>
  </si>
  <si>
    <t>吴文懿</t>
  </si>
  <si>
    <t>陈梓铭</t>
  </si>
  <si>
    <t>二组</t>
  </si>
  <si>
    <t>程庆德</t>
  </si>
  <si>
    <t>刘奇峻</t>
  </si>
  <si>
    <t>龙家宝</t>
  </si>
  <si>
    <t>罗紫杰</t>
  </si>
  <si>
    <t>莫健铭</t>
  </si>
  <si>
    <t>吴广仁</t>
  </si>
  <si>
    <t>王洪明(挂整体指标)</t>
  </si>
  <si>
    <t>点评:商机统计至20260224(17点），未达标的请关注。</t>
  </si>
  <si>
    <t>4-1存量经营时间进度（20260301）</t>
  </si>
  <si>
    <t>月度存量续约合同(号码级）</t>
  </si>
  <si>
    <t>已续约数</t>
  </si>
  <si>
    <t>累计完成率（90%达标）</t>
  </si>
  <si>
    <t>已受理长期协议</t>
  </si>
  <si>
    <t>长期协议续约率（50%达标）</t>
  </si>
  <si>
    <t>未受理长期协议号码</t>
  </si>
  <si>
    <t>续约情况</t>
  </si>
  <si>
    <t>取数来源：每月月初市存量管理员统一下发当月到期清单</t>
  </si>
  <si>
    <t>总计</t>
  </si>
  <si>
    <t>4-2存量经营时间进度（20260401）</t>
  </si>
  <si>
    <t>点评:当月未达90%，长期续约未达50%的请关注。</t>
  </si>
  <si>
    <t>4-3存量经营-协议到期未长期续约</t>
  </si>
  <si>
    <t>用户名</t>
  </si>
  <si>
    <t>存量续约号码数量</t>
  </si>
  <si>
    <t>月租</t>
  </si>
  <si>
    <t>协议到期时间
（原协议时间）</t>
  </si>
  <si>
    <t>协议到期时间
（最新）</t>
  </si>
  <si>
    <t>备注（代表号）</t>
  </si>
  <si>
    <t>（统计时间由2025年4月开始）</t>
  </si>
  <si>
    <t>1、完美一单积分完成通报（截至3月17日）
全光组网</t>
  </si>
  <si>
    <t>高套发展</t>
  </si>
  <si>
    <t>高套完成率</t>
  </si>
  <si>
    <t>发展户数</t>
  </si>
  <si>
    <t>主网关数量</t>
  </si>
  <si>
    <t>从网关数量</t>
  </si>
  <si>
    <t>陈泳诗</t>
  </si>
  <si>
    <t>否</t>
  </si>
  <si>
    <t>党政军团队合计</t>
  </si>
  <si>
    <t>大企业团队合计</t>
  </si>
  <si>
    <t>点评：2人积分时间进度完成率达标:</t>
  </si>
  <si>
    <t>2、走访时间进度通报(3.1-3.9)</t>
  </si>
  <si>
    <t>本月走访任务数</t>
  </si>
  <si>
    <t>走访进度目标数</t>
  </si>
  <si>
    <t>累计走访数</t>
  </si>
  <si>
    <t>取数来源：841工作台</t>
  </si>
  <si>
    <t>高套数</t>
  </si>
  <si>
    <t>标识</t>
  </si>
  <si>
    <t>主网关数</t>
  </si>
  <si>
    <t>从网关数</t>
  </si>
  <si>
    <t>智企云包2.0 2年合约 _60元/月</t>
  </si>
  <si>
    <t>智企云包2.0FTTR促销优惠2年合约（混搭型）_80元</t>
  </si>
  <si>
    <t>智企云包2.0FTTR促销优惠2年合约（混搭型）_100元</t>
  </si>
  <si>
    <t>智企云包2.0FTTR促销优惠2年合约（混搭型）_180元</t>
  </si>
  <si>
    <t>智企云包2.0FTTR促销优惠2年合约（混搭型）_250元</t>
  </si>
  <si>
    <t>政商全光组网_FTTR调测分期套餐（主网关）_60元_24期</t>
  </si>
  <si>
    <t>小翼全光网主网关月服务套餐（主网关_工业头端_2口主网关）（220元）</t>
  </si>
  <si>
    <t>小翼全光网从网关24期月服务套餐（从网关_吸顶型）（40元）</t>
  </si>
  <si>
    <t>负责客户经理</t>
  </si>
  <si>
    <t>装维协同结对</t>
  </si>
  <si>
    <t>装维负责区域</t>
  </si>
  <si>
    <t>协同交付经理</t>
  </si>
  <si>
    <t>城东</t>
  </si>
  <si>
    <t>城中</t>
  </si>
  <si>
    <t>城西</t>
  </si>
  <si>
    <t>王洪明</t>
  </si>
  <si>
    <t>陈泳诗（休产假）</t>
  </si>
  <si>
    <t>王洪明（技能待提升，4月需协同其他装维上门)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</si>
</sst>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  <numFmt numFmtId="177" formatCode="0_);[Red]\(0\)"/>
  </numFmts>
  <fonts count="50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sz val="11"/>
      <color theme="1"/>
      <name val="等线"/>
      <charset val="134"/>
    </font>
    <font>
      <b/>
      <sz val="11"/>
      <color rgb="FFFFFFFF"/>
      <name val="Arial"/>
      <charset val="134"/>
    </font>
    <font>
      <sz val="26"/>
      <color rgb="FF000000"/>
      <name val="微软雅黑"/>
      <charset val="134"/>
    </font>
    <font>
      <sz val="11"/>
      <color rgb="FF000000"/>
      <name val="微软雅黑"/>
      <charset val="134"/>
    </font>
    <font>
      <sz val="11"/>
      <color theme="1"/>
      <name val="微软雅黑"/>
      <charset val="134"/>
    </font>
    <font>
      <sz val="9"/>
      <color rgb="FF000000"/>
      <name val="宋体"/>
      <charset val="134"/>
    </font>
    <font>
      <b/>
      <sz val="11"/>
      <color rgb="FF000000"/>
      <name val="微软雅黑"/>
      <charset val="134"/>
    </font>
    <font>
      <sz val="11"/>
      <color rgb="FFFF0000"/>
      <name val="微软雅黑"/>
      <charset val="134"/>
    </font>
    <font>
      <sz val="12"/>
      <color rgb="FF000000"/>
      <name val="微软雅黑"/>
      <charset val="134"/>
    </font>
    <font>
      <sz val="10"/>
      <color rgb="FF000000"/>
      <name val="宋体"/>
      <charset val="134"/>
    </font>
    <font>
      <sz val="11"/>
      <color rgb="FF000000"/>
      <name val="宋体"/>
      <charset val="134"/>
    </font>
    <font>
      <sz val="11"/>
      <name val="微软雅黑"/>
      <charset val="134"/>
    </font>
    <font>
      <sz val="11"/>
      <color rgb="FFFF0000"/>
      <name val="宋体"/>
      <charset val="134"/>
    </font>
    <font>
      <sz val="11"/>
      <color rgb="FF000000"/>
      <name val="宋体"/>
      <charset val="134"/>
      <scheme val="minor"/>
    </font>
    <font>
      <sz val="11"/>
      <color rgb="FF000000"/>
      <name val="WenQuanYi Micro Hei"/>
      <charset val="134"/>
    </font>
    <font>
      <sz val="10"/>
      <color rgb="FFFF0000"/>
      <name val="宋体"/>
      <charset val="134"/>
    </font>
    <font>
      <b/>
      <sz val="16"/>
      <color rgb="FFFFFFFF"/>
      <name val="Arial"/>
      <charset val="134"/>
    </font>
    <font>
      <i/>
      <sz val="9"/>
      <color rgb="FFDDEEFF"/>
      <name val="宋体"/>
      <charset val="134"/>
    </font>
    <font>
      <b/>
      <sz val="14"/>
      <color rgb="FFFFFFFF"/>
      <name val="微软雅黑"/>
      <charset val="134"/>
    </font>
    <font>
      <b/>
      <sz val="11"/>
      <color rgb="FFFFFFFF"/>
      <name val="微软雅黑"/>
      <charset val="134"/>
    </font>
    <font>
      <b/>
      <sz val="10"/>
      <color rgb="FF1B3A6B"/>
      <name val="宋体"/>
      <charset val="134"/>
    </font>
    <font>
      <sz val="10"/>
      <color rgb="FF1C2B3A"/>
      <name val="Arial"/>
      <charset val="134"/>
    </font>
    <font>
      <b/>
      <sz val="11"/>
      <color rgb="FF1F4E79"/>
      <name val="微软雅黑"/>
      <charset val="134"/>
    </font>
    <font>
      <b/>
      <sz val="10"/>
      <name val="Arial"/>
      <charset val="134"/>
    </font>
    <font>
      <b/>
      <sz val="16"/>
      <color rgb="FFFFFFFF"/>
      <name val="微软雅黑"/>
      <charset val="134"/>
    </font>
    <font>
      <b/>
      <sz val="11"/>
      <color rgb="FFFFFFFF"/>
      <name val="宋体"/>
      <charset val="134"/>
    </font>
    <font>
      <b/>
      <sz val="10"/>
      <color rgb="FF1F3864"/>
      <name val="Arial"/>
      <charset val="134"/>
    </font>
    <font>
      <sz val="10"/>
      <color rgb="FF1F1F1F"/>
      <name val="Arial"/>
      <charset val="134"/>
    </font>
    <font>
      <sz val="10"/>
      <color rgb="FF1F1F1F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63">
    <fill>
      <patternFill patternType="none"/>
    </fill>
    <fill>
      <patternFill patternType="gray125"/>
    </fill>
    <fill>
      <patternFill patternType="solid">
        <fgColor rgb="FF4A86D4"/>
        <bgColor indexed="64"/>
      </patternFill>
    </fill>
    <fill>
      <patternFill patternType="solid">
        <fgColor rgb="FFFFE270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rgb="FFE7E6E6"/>
        <bgColor indexed="64"/>
      </patternFill>
    </fill>
    <fill>
      <patternFill patternType="solid">
        <fgColor rgb="FFFADBDF"/>
        <bgColor indexed="64"/>
      </patternFill>
    </fill>
    <fill>
      <patternFill patternType="solid">
        <fgColor rgb="FFFADADE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1B3A6B"/>
        <bgColor indexed="64"/>
      </patternFill>
    </fill>
    <fill>
      <patternFill patternType="solid">
        <fgColor rgb="FF2E5FA3"/>
        <bgColor indexed="64"/>
      </patternFill>
    </fill>
    <fill>
      <patternFill patternType="solid">
        <fgColor rgb="FF2D6BB5"/>
        <bgColor indexed="64"/>
      </patternFill>
    </fill>
    <fill>
      <patternFill patternType="solid">
        <fgColor rgb="FF3A7EC8"/>
        <bgColor indexed="64"/>
      </patternFill>
    </fill>
    <fill>
      <patternFill patternType="solid">
        <fgColor rgb="FFFFD700"/>
        <bgColor indexed="64"/>
      </patternFill>
    </fill>
    <fill>
      <patternFill patternType="solid">
        <fgColor rgb="FFFFF8DC"/>
        <bgColor indexed="64"/>
      </patternFill>
    </fill>
    <fill>
      <patternFill patternType="solid">
        <fgColor rgb="FFD8E8C8"/>
        <bgColor indexed="64"/>
      </patternFill>
    </fill>
    <fill>
      <patternFill patternType="solid">
        <fgColor rgb="FFEEF4FB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8F8F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8A070"/>
        <bgColor indexed="64"/>
      </patternFill>
    </fill>
    <fill>
      <patternFill patternType="solid">
        <fgColor rgb="FFFFF5EE"/>
        <bgColor indexed="64"/>
      </patternFill>
    </fill>
    <fill>
      <patternFill patternType="solid">
        <fgColor rgb="FFEBF2FF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1A3A5C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EEAF1"/>
        <bgColor indexed="64"/>
      </patternFill>
    </fill>
    <fill>
      <patternFill patternType="solid">
        <fgColor rgb="FFA9D18E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6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rgb="FF1B3A6B"/>
      </left>
      <right style="medium">
        <color rgb="FF2E5FA3"/>
      </right>
      <top style="medium">
        <color rgb="FF2E5FA3"/>
      </top>
      <bottom style="medium">
        <color rgb="FF2E5FA3"/>
      </bottom>
      <diagonal/>
    </border>
    <border>
      <left style="medium">
        <color rgb="FF2E5FA3"/>
      </left>
      <right style="medium">
        <color rgb="FF2E5FA3"/>
      </right>
      <top style="medium">
        <color rgb="FF2E5FA3"/>
      </top>
      <bottom style="medium">
        <color rgb="FF2E5FA3"/>
      </bottom>
      <diagonal/>
    </border>
    <border>
      <left style="medium">
        <color rgb="FF2E5FA3"/>
      </left>
      <right style="medium">
        <color rgb="FF1B3A6B"/>
      </right>
      <top style="medium">
        <color rgb="FF2E5FA3"/>
      </top>
      <bottom style="medium">
        <color rgb="FF2E5FA3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/>
      <bottom style="thin">
        <color rgb="FF000000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rgb="FF000000"/>
      </bottom>
      <diagonal/>
    </border>
    <border>
      <left style="thin">
        <color auto="1"/>
      </left>
      <right/>
      <top/>
      <bottom style="thin">
        <color rgb="FF00000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auto="1"/>
      </right>
      <top/>
      <bottom style="thin">
        <color auto="1"/>
      </bottom>
      <diagonal/>
    </border>
    <border>
      <left style="medium">
        <color rgb="FF1B3A6B"/>
      </left>
      <right style="medium">
        <color rgb="FF1B3A6B"/>
      </right>
      <top style="medium">
        <color rgb="FF1B3A6B"/>
      </top>
      <bottom style="medium">
        <color rgb="FF1B3A6B"/>
      </bottom>
      <diagonal/>
    </border>
    <border>
      <left/>
      <right/>
      <top style="medium">
        <color rgb="FF1B3A6B"/>
      </top>
      <bottom style="medium">
        <color rgb="FF1B3A6B"/>
      </bottom>
      <diagonal/>
    </border>
    <border>
      <left/>
      <right style="medium">
        <color rgb="FF1B3A6B"/>
      </right>
      <top style="medium">
        <color rgb="FF1B3A6B"/>
      </top>
      <bottom style="medium">
        <color rgb="FF1B3A6B"/>
      </bottom>
      <diagonal/>
    </border>
    <border>
      <left style="medium">
        <color rgb="FF1B3A6B"/>
      </left>
      <right/>
      <top/>
      <bottom/>
      <diagonal/>
    </border>
    <border>
      <left style="medium">
        <color rgb="FF1B3A6B"/>
      </left>
      <right style="thin">
        <color rgb="FF2E5FA3"/>
      </right>
      <top style="thin">
        <color rgb="FF2E5FA3"/>
      </top>
      <bottom style="thin">
        <color rgb="FF2E5FA3"/>
      </bottom>
      <diagonal/>
    </border>
    <border>
      <left/>
      <right/>
      <top style="thin">
        <color rgb="FF2E5FA3"/>
      </top>
      <bottom style="thin">
        <color rgb="FF2E5FA3"/>
      </bottom>
      <diagonal/>
    </border>
    <border>
      <left/>
      <right style="thin">
        <color rgb="FF2E5FA3"/>
      </right>
      <top style="thin">
        <color rgb="FF2E5FA3"/>
      </top>
      <bottom style="thin">
        <color rgb="FF2E5FA3"/>
      </bottom>
      <diagonal/>
    </border>
    <border>
      <left style="medium">
        <color rgb="FF1B3A6B"/>
      </left>
      <right style="medium">
        <color rgb="FF2E5FA3"/>
      </right>
      <top/>
      <bottom style="medium">
        <color rgb="FF2E5FA3"/>
      </bottom>
      <diagonal/>
    </border>
    <border>
      <left style="medium">
        <color rgb="FF2E5FA3"/>
      </left>
      <right style="medium">
        <color rgb="FF2E5FA3"/>
      </right>
      <top/>
      <bottom style="medium">
        <color rgb="FF2E5FA3"/>
      </bottom>
      <diagonal/>
    </border>
    <border>
      <left style="medium">
        <color rgb="FF2E5FA3"/>
      </left>
      <right style="medium">
        <color rgb="FF1B3A6B"/>
      </right>
      <top/>
      <bottom/>
      <diagonal/>
    </border>
    <border>
      <left style="thin">
        <color rgb="FFAABDD6"/>
      </left>
      <right style="thin">
        <color rgb="FFAABDD6"/>
      </right>
      <top style="thin">
        <color rgb="FFAABDD6"/>
      </top>
      <bottom style="thin">
        <color rgb="FFAABDD6"/>
      </bottom>
      <diagonal/>
    </border>
    <border>
      <left style="medium">
        <color rgb="FF1B3A6B"/>
      </left>
      <right style="thin">
        <color rgb="FFA0B8D8"/>
      </right>
      <top style="thin">
        <color rgb="FFA0B8D8"/>
      </top>
      <bottom style="thin">
        <color rgb="FFA0B8D8"/>
      </bottom>
      <diagonal/>
    </border>
    <border>
      <left style="thin">
        <color rgb="FFA0B8D8"/>
      </left>
      <right style="thin">
        <color rgb="FFA0B8D8"/>
      </right>
      <top style="thin">
        <color rgb="FFA0B8D8"/>
      </top>
      <bottom style="thin">
        <color rgb="FFA0B8D8"/>
      </bottom>
      <diagonal/>
    </border>
    <border>
      <left style="thin">
        <color rgb="FFA0B8D8"/>
      </left>
      <right style="medium">
        <color rgb="FF1B3A6B"/>
      </right>
      <top style="thin">
        <color rgb="FFA0B8D8"/>
      </top>
      <bottom style="thin">
        <color rgb="FFA0B8D8"/>
      </bottom>
      <diagonal/>
    </border>
    <border>
      <left style="thin">
        <color rgb="FFAABDD6"/>
      </left>
      <right style="thin">
        <color rgb="FFAABDD6"/>
      </right>
      <top/>
      <bottom/>
      <diagonal/>
    </border>
    <border>
      <left style="thin">
        <color rgb="FFAABDD6"/>
      </left>
      <right style="thin">
        <color rgb="FFAABDD6"/>
      </right>
      <top/>
      <bottom style="thin">
        <color rgb="FFAABDD6"/>
      </bottom>
      <diagonal/>
    </border>
    <border>
      <left/>
      <right style="thin">
        <color rgb="FFAABDD6"/>
      </right>
      <top style="thin">
        <color rgb="FFAABDD6"/>
      </top>
      <bottom style="thin">
        <color rgb="FFAABDD6"/>
      </bottom>
      <diagonal/>
    </border>
    <border>
      <left style="medium">
        <color rgb="FF1B3A6B"/>
      </left>
      <right style="thin">
        <color rgb="FFA0B8D8"/>
      </right>
      <top style="thin">
        <color rgb="FFA0B8D8"/>
      </top>
      <bottom/>
      <diagonal/>
    </border>
    <border>
      <left style="thin">
        <color rgb="FFA0B8D8"/>
      </left>
      <right style="thin">
        <color rgb="FFA0B8D8"/>
      </right>
      <top style="thin">
        <color rgb="FFA0B8D8"/>
      </top>
      <bottom/>
      <diagonal/>
    </border>
    <border>
      <left style="thin">
        <color rgb="FFA0B8D8"/>
      </left>
      <right style="medium">
        <color rgb="FF1B3A6B"/>
      </right>
      <top style="thin">
        <color rgb="FFA0B8D8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/>
      <diagonal/>
    </border>
    <border>
      <left style="thin">
        <color rgb="FF2E75B6"/>
      </left>
      <right style="thin">
        <color rgb="FF2E75B6"/>
      </right>
      <top style="thin">
        <color rgb="FF2E75B6"/>
      </top>
      <bottom style="thin">
        <color rgb="FF2E75B6"/>
      </bottom>
      <diagonal/>
    </border>
    <border>
      <left style="medium">
        <color rgb="FF2E75B6"/>
      </left>
      <right style="medium">
        <color rgb="FF2E75B6"/>
      </right>
      <top/>
      <bottom/>
      <diagonal/>
    </border>
    <border>
      <left/>
      <right style="thin">
        <color rgb="FF2E75B6"/>
      </right>
      <top style="thin">
        <color rgb="FF2E75B6"/>
      </top>
      <bottom style="thin">
        <color rgb="FF2E75B6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1" fillId="0" borderId="0">
      <alignment vertical="center"/>
    </xf>
    <xf numFmtId="0" fontId="32" fillId="0" borderId="0">
      <alignment vertical="center"/>
    </xf>
    <xf numFmtId="0" fontId="0" fillId="32" borderId="57">
      <alignment vertical="center"/>
    </xf>
    <xf numFmtId="0" fontId="33" fillId="0" borderId="0">
      <alignment vertical="center"/>
    </xf>
    <xf numFmtId="0" fontId="34" fillId="0" borderId="0">
      <alignment vertical="center"/>
    </xf>
    <xf numFmtId="0" fontId="35" fillId="0" borderId="0">
      <alignment vertical="center"/>
    </xf>
    <xf numFmtId="0" fontId="36" fillId="0" borderId="58">
      <alignment vertical="center"/>
    </xf>
    <xf numFmtId="0" fontId="37" fillId="0" borderId="58">
      <alignment vertical="center"/>
    </xf>
    <xf numFmtId="0" fontId="38" fillId="0" borderId="59">
      <alignment vertical="center"/>
    </xf>
    <xf numFmtId="0" fontId="38" fillId="0" borderId="0">
      <alignment vertical="center"/>
    </xf>
    <xf numFmtId="0" fontId="39" fillId="33" borderId="60">
      <alignment vertical="center"/>
    </xf>
    <xf numFmtId="0" fontId="40" fillId="34" borderId="61">
      <alignment vertical="center"/>
    </xf>
    <xf numFmtId="0" fontId="41" fillId="34" borderId="60">
      <alignment vertical="center"/>
    </xf>
    <xf numFmtId="0" fontId="42" fillId="35" borderId="62">
      <alignment vertical="center"/>
    </xf>
    <xf numFmtId="0" fontId="43" fillId="0" borderId="63">
      <alignment vertical="center"/>
    </xf>
    <xf numFmtId="0" fontId="44" fillId="0" borderId="64">
      <alignment vertical="center"/>
    </xf>
    <xf numFmtId="0" fontId="45" fillId="36" borderId="0">
      <alignment vertical="center"/>
    </xf>
    <xf numFmtId="0" fontId="46" fillId="37" borderId="0">
      <alignment vertical="center"/>
    </xf>
    <xf numFmtId="0" fontId="47" fillId="38" borderId="0">
      <alignment vertical="center"/>
    </xf>
    <xf numFmtId="0" fontId="48" fillId="39" borderId="0">
      <alignment vertical="center"/>
    </xf>
    <xf numFmtId="0" fontId="49" fillId="40" borderId="0">
      <alignment vertical="center"/>
    </xf>
    <xf numFmtId="0" fontId="49" fillId="41" borderId="0">
      <alignment vertical="center"/>
    </xf>
    <xf numFmtId="0" fontId="48" fillId="42" borderId="0">
      <alignment vertical="center"/>
    </xf>
    <xf numFmtId="0" fontId="48" fillId="43" borderId="0">
      <alignment vertical="center"/>
    </xf>
    <xf numFmtId="0" fontId="49" fillId="44" borderId="0">
      <alignment vertical="center"/>
    </xf>
    <xf numFmtId="0" fontId="49" fillId="45" borderId="0">
      <alignment vertical="center"/>
    </xf>
    <xf numFmtId="0" fontId="48" fillId="46" borderId="0">
      <alignment vertical="center"/>
    </xf>
    <xf numFmtId="0" fontId="48" fillId="47" borderId="0">
      <alignment vertical="center"/>
    </xf>
    <xf numFmtId="0" fontId="49" fillId="48" borderId="0">
      <alignment vertical="center"/>
    </xf>
    <xf numFmtId="0" fontId="49" fillId="49" borderId="0">
      <alignment vertical="center"/>
    </xf>
    <xf numFmtId="0" fontId="48" fillId="50" borderId="0">
      <alignment vertical="center"/>
    </xf>
    <xf numFmtId="0" fontId="48" fillId="51" borderId="0">
      <alignment vertical="center"/>
    </xf>
    <xf numFmtId="0" fontId="49" fillId="52" borderId="0">
      <alignment vertical="center"/>
    </xf>
    <xf numFmtId="0" fontId="49" fillId="53" borderId="0">
      <alignment vertical="center"/>
    </xf>
    <xf numFmtId="0" fontId="48" fillId="54" borderId="0">
      <alignment vertical="center"/>
    </xf>
    <xf numFmtId="0" fontId="48" fillId="55" borderId="0">
      <alignment vertical="center"/>
    </xf>
    <xf numFmtId="0" fontId="49" fillId="56" borderId="0">
      <alignment vertical="center"/>
    </xf>
    <xf numFmtId="0" fontId="49" fillId="57" borderId="0">
      <alignment vertical="center"/>
    </xf>
    <xf numFmtId="0" fontId="48" fillId="58" borderId="0">
      <alignment vertical="center"/>
    </xf>
    <xf numFmtId="0" fontId="48" fillId="59" borderId="0">
      <alignment vertical="center"/>
    </xf>
    <xf numFmtId="0" fontId="49" fillId="60" borderId="0">
      <alignment vertical="center"/>
    </xf>
    <xf numFmtId="0" fontId="49" fillId="61" borderId="0">
      <alignment vertical="center"/>
    </xf>
    <xf numFmtId="0" fontId="48" fillId="62" borderId="0">
      <alignment vertical="center"/>
    </xf>
  </cellStyleXfs>
  <cellXfs count="197">
    <xf numFmtId="0" fontId="0" fillId="0" borderId="0" xfId="0" applyAlignment="1">
      <alignment vertical="center"/>
    </xf>
    <xf numFmtId="0" fontId="1" fillId="0" borderId="1" xfId="0" applyFont="1" applyBorder="1" applyAlignment="1">
      <alignment horizontal="center" vertical="top"/>
    </xf>
    <xf numFmtId="9" fontId="0" fillId="0" borderId="0" xfId="0" applyNumberFormat="1" applyAlignment="1">
      <alignment vertical="center"/>
    </xf>
    <xf numFmtId="0" fontId="0" fillId="0" borderId="0" xfId="0" applyAlignment="1"/>
    <xf numFmtId="0" fontId="2" fillId="0" borderId="2" xfId="0" applyFont="1" applyBorder="1" applyAlignment="1">
      <alignment vertical="top"/>
    </xf>
    <xf numFmtId="0" fontId="2" fillId="0" borderId="3" xfId="0" applyFont="1" applyBorder="1" applyAlignment="1">
      <alignment vertical="top"/>
    </xf>
    <xf numFmtId="0" fontId="2" fillId="0" borderId="1" xfId="0" applyFont="1" applyBorder="1" applyAlignment="1">
      <alignment vertical="top"/>
    </xf>
    <xf numFmtId="0" fontId="2" fillId="0" borderId="0" xfId="0" applyFont="1" applyAlignment="1">
      <alignment vertical="center"/>
    </xf>
    <xf numFmtId="0" fontId="2" fillId="0" borderId="4" xfId="0" applyFont="1" applyBorder="1" applyAlignment="1">
      <alignment vertical="top"/>
    </xf>
    <xf numFmtId="0" fontId="3" fillId="2" borderId="5" xfId="0" applyFont="1" applyFill="1" applyBorder="1" applyAlignment="1">
      <alignment horizontal="center" vertical="center"/>
    </xf>
    <xf numFmtId="0" fontId="3" fillId="2" borderId="6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3" borderId="1" xfId="0" applyNumberFormat="1" applyFont="1" applyFill="1" applyBorder="1" applyAlignment="1">
      <alignment horizontal="center" vertical="center"/>
    </xf>
    <xf numFmtId="0" fontId="0" fillId="0" borderId="8" xfId="0" applyBorder="1" applyAlignment="1"/>
    <xf numFmtId="0" fontId="0" fillId="0" borderId="9" xfId="0" applyBorder="1" applyAlignment="1"/>
    <xf numFmtId="0" fontId="5" fillId="0" borderId="0" xfId="0" applyFont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9" fontId="5" fillId="4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9" fontId="5" fillId="0" borderId="1" xfId="0" applyNumberFormat="1" applyFont="1" applyBorder="1" applyAlignment="1">
      <alignment horizontal="center" vertical="center" wrapText="1"/>
    </xf>
    <xf numFmtId="176" fontId="5" fillId="0" borderId="1" xfId="0" applyNumberFormat="1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/>
    </xf>
    <xf numFmtId="9" fontId="6" fillId="0" borderId="1" xfId="0" applyNumberFormat="1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9" fontId="5" fillId="5" borderId="1" xfId="0" applyNumberFormat="1" applyFont="1" applyFill="1" applyBorder="1" applyAlignment="1">
      <alignment horizontal="center" vertical="center" wrapText="1"/>
    </xf>
    <xf numFmtId="176" fontId="5" fillId="5" borderId="1" xfId="0" applyNumberFormat="1" applyFont="1" applyFill="1" applyBorder="1" applyAlignment="1">
      <alignment horizontal="center" vertical="center" wrapText="1"/>
    </xf>
    <xf numFmtId="9" fontId="8" fillId="5" borderId="1" xfId="0" applyNumberFormat="1" applyFont="1" applyFill="1" applyBorder="1" applyAlignment="1">
      <alignment horizontal="center" vertical="center" wrapText="1"/>
    </xf>
    <xf numFmtId="176" fontId="8" fillId="0" borderId="0" xfId="0" applyNumberFormat="1" applyFont="1" applyAlignment="1">
      <alignment horizontal="center" vertical="center"/>
    </xf>
    <xf numFmtId="176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9" fontId="8" fillId="0" borderId="1" xfId="0" applyNumberFormat="1" applyFont="1" applyBorder="1" applyAlignment="1">
      <alignment horizontal="center" vertical="center" wrapText="1"/>
    </xf>
    <xf numFmtId="176" fontId="8" fillId="0" borderId="1" xfId="0" applyNumberFormat="1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9" fontId="6" fillId="0" borderId="0" xfId="0" applyNumberFormat="1" applyFont="1" applyAlignment="1">
      <alignment horizontal="center" vertical="center"/>
    </xf>
    <xf numFmtId="176" fontId="5" fillId="0" borderId="0" xfId="0" applyNumberFormat="1" applyFont="1" applyAlignment="1">
      <alignment horizontal="center" vertical="center" wrapText="1"/>
    </xf>
    <xf numFmtId="9" fontId="5" fillId="0" borderId="0" xfId="0" applyNumberFormat="1" applyFont="1" applyAlignment="1">
      <alignment horizontal="center" vertical="center" wrapText="1"/>
    </xf>
    <xf numFmtId="0" fontId="5" fillId="4" borderId="11" xfId="0" applyFont="1" applyFill="1" applyBorder="1" applyAlignment="1">
      <alignment horizontal="center" vertical="center" wrapText="1"/>
    </xf>
    <xf numFmtId="0" fontId="0" fillId="0" borderId="12" xfId="0" applyBorder="1" applyAlignment="1"/>
    <xf numFmtId="0" fontId="0" fillId="0" borderId="11" xfId="0" applyBorder="1" applyAlignment="1"/>
    <xf numFmtId="0" fontId="10" fillId="0" borderId="0" xfId="0" applyFont="1" applyAlignment="1">
      <alignment horizontal="center" vertical="center" wrapText="1"/>
    </xf>
    <xf numFmtId="0" fontId="5" fillId="4" borderId="13" xfId="0" applyFont="1" applyFill="1" applyBorder="1" applyAlignment="1">
      <alignment horizontal="center" vertical="center" wrapText="1"/>
    </xf>
    <xf numFmtId="0" fontId="5" fillId="4" borderId="14" xfId="0" applyFont="1" applyFill="1" applyBorder="1" applyAlignment="1">
      <alignment horizontal="center" vertical="center" wrapText="1"/>
    </xf>
    <xf numFmtId="0" fontId="5" fillId="4" borderId="15" xfId="0" applyFont="1" applyFill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11" fillId="0" borderId="0" xfId="0" applyFont="1" applyAlignment="1">
      <alignment horizontal="center" vertical="center" wrapText="1"/>
    </xf>
    <xf numFmtId="0" fontId="5" fillId="0" borderId="11" xfId="0" applyFont="1" applyBorder="1" applyAlignment="1">
      <alignment horizontal="center" vertical="center"/>
    </xf>
    <xf numFmtId="177" fontId="5" fillId="0" borderId="10" xfId="0" applyNumberFormat="1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/>
    </xf>
    <xf numFmtId="9" fontId="5" fillId="0" borderId="16" xfId="0" applyNumberFormat="1" applyFont="1" applyBorder="1" applyAlignment="1">
      <alignment horizontal="center" vertical="center" wrapText="1"/>
    </xf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/>
    </xf>
    <xf numFmtId="9" fontId="13" fillId="0" borderId="16" xfId="0" applyNumberFormat="1" applyFont="1" applyBorder="1" applyAlignment="1">
      <alignment horizontal="center" vertical="center" wrapText="1"/>
    </xf>
    <xf numFmtId="0" fontId="14" fillId="0" borderId="0" xfId="0" applyFont="1" applyAlignment="1">
      <alignment vertical="center"/>
    </xf>
    <xf numFmtId="9" fontId="9" fillId="0" borderId="16" xfId="0" applyNumberFormat="1" applyFont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1" fontId="5" fillId="0" borderId="10" xfId="0" applyNumberFormat="1" applyFont="1" applyBorder="1" applyAlignment="1">
      <alignment horizontal="center" vertical="center"/>
    </xf>
    <xf numFmtId="0" fontId="12" fillId="0" borderId="0" xfId="0" applyFont="1" applyAlignment="1">
      <alignment horizontal="center" vertical="center" wrapText="1"/>
    </xf>
    <xf numFmtId="0" fontId="12" fillId="0" borderId="0" xfId="0" applyFont="1" applyAlignment="1">
      <alignment horizontal="left" vertical="center" wrapText="1"/>
    </xf>
    <xf numFmtId="0" fontId="15" fillId="0" borderId="0" xfId="0" applyFont="1" applyAlignment="1">
      <alignment vertical="center"/>
    </xf>
    <xf numFmtId="0" fontId="16" fillId="0" borderId="0" xfId="0" applyFont="1" applyAlignment="1">
      <alignment horizontal="center" vertical="center" wrapText="1"/>
    </xf>
    <xf numFmtId="176" fontId="16" fillId="0" borderId="0" xfId="0" applyNumberFormat="1" applyFont="1" applyAlignment="1">
      <alignment horizontal="center" vertical="center" wrapText="1"/>
    </xf>
    <xf numFmtId="9" fontId="16" fillId="0" borderId="0" xfId="0" applyNumberFormat="1" applyFont="1" applyAlignment="1">
      <alignment horizontal="center" vertical="center" wrapText="1"/>
    </xf>
    <xf numFmtId="0" fontId="11" fillId="6" borderId="11" xfId="0" applyFont="1" applyFill="1" applyBorder="1" applyAlignment="1">
      <alignment horizontal="center" vertical="center"/>
    </xf>
    <xf numFmtId="0" fontId="11" fillId="6" borderId="10" xfId="0" applyFont="1" applyFill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7" borderId="11" xfId="0" applyFont="1" applyFill="1" applyBorder="1" applyAlignment="1">
      <alignment horizontal="center" vertical="center" wrapText="1"/>
    </xf>
    <xf numFmtId="0" fontId="0" fillId="0" borderId="13" xfId="0" applyBorder="1" applyAlignment="1"/>
    <xf numFmtId="0" fontId="11" fillId="7" borderId="10" xfId="0" applyFont="1" applyFill="1" applyBorder="1" applyAlignment="1">
      <alignment horizontal="center" vertical="center"/>
    </xf>
    <xf numFmtId="0" fontId="11" fillId="7" borderId="10" xfId="0" applyFont="1" applyFill="1" applyBorder="1" applyAlignment="1">
      <alignment horizontal="center" vertical="center" wrapText="1"/>
    </xf>
    <xf numFmtId="0" fontId="11" fillId="0" borderId="11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9" fontId="11" fillId="0" borderId="10" xfId="0" applyNumberFormat="1" applyFont="1" applyBorder="1" applyAlignment="1">
      <alignment horizontal="center" vertical="center"/>
    </xf>
    <xf numFmtId="0" fontId="11" fillId="8" borderId="10" xfId="0" applyFont="1" applyFill="1" applyBorder="1" applyAlignment="1">
      <alignment horizontal="center" vertical="center"/>
    </xf>
    <xf numFmtId="9" fontId="11" fillId="8" borderId="10" xfId="0" applyNumberFormat="1" applyFont="1" applyFill="1" applyBorder="1" applyAlignment="1">
      <alignment horizontal="center" vertical="center"/>
    </xf>
    <xf numFmtId="0" fontId="11" fillId="9" borderId="11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9" fontId="11" fillId="9" borderId="10" xfId="0" applyNumberFormat="1" applyFont="1" applyFill="1" applyBorder="1" applyAlignment="1">
      <alignment horizontal="center" vertical="center"/>
    </xf>
    <xf numFmtId="0" fontId="11" fillId="9" borderId="11" xfId="0" applyFont="1" applyFill="1" applyBorder="1" applyAlignment="1">
      <alignment horizontal="center" vertical="center" wrapText="1"/>
    </xf>
    <xf numFmtId="0" fontId="17" fillId="0" borderId="0" xfId="0" applyFont="1" applyAlignment="1">
      <alignment horizontal="left" vertical="center"/>
    </xf>
    <xf numFmtId="0" fontId="17" fillId="0" borderId="0" xfId="0" applyFont="1" applyAlignment="1">
      <alignment vertical="center" wrapText="1"/>
    </xf>
    <xf numFmtId="0" fontId="11" fillId="8" borderId="11" xfId="0" applyFont="1" applyFill="1" applyBorder="1" applyAlignment="1">
      <alignment horizontal="center" vertical="center"/>
    </xf>
    <xf numFmtId="0" fontId="11" fillId="0" borderId="11" xfId="0" applyFont="1" applyBorder="1" applyAlignment="1">
      <alignment horizontal="center" vertical="center" wrapText="1"/>
    </xf>
    <xf numFmtId="0" fontId="12" fillId="9" borderId="10" xfId="0" applyFont="1" applyFill="1" applyBorder="1" applyAlignment="1">
      <alignment vertical="center"/>
    </xf>
    <xf numFmtId="0" fontId="12" fillId="0" borderId="0" xfId="0" applyFont="1" applyAlignment="1">
      <alignment horizontal="left" vertical="center"/>
    </xf>
    <xf numFmtId="0" fontId="11" fillId="7" borderId="11" xfId="0" applyFont="1" applyFill="1" applyBorder="1" applyAlignment="1">
      <alignment horizontal="center" vertical="center"/>
    </xf>
    <xf numFmtId="0" fontId="11" fillId="7" borderId="13" xfId="0" applyFont="1" applyFill="1" applyBorder="1" applyAlignment="1">
      <alignment horizontal="center" vertical="center"/>
    </xf>
    <xf numFmtId="0" fontId="11" fillId="7" borderId="14" xfId="0" applyFont="1" applyFill="1" applyBorder="1" applyAlignment="1">
      <alignment horizontal="center" vertical="center"/>
    </xf>
    <xf numFmtId="0" fontId="11" fillId="7" borderId="14" xfId="0" applyFont="1" applyFill="1" applyBorder="1" applyAlignment="1">
      <alignment horizontal="center" vertical="center" wrapText="1"/>
    </xf>
    <xf numFmtId="0" fontId="11" fillId="0" borderId="11" xfId="0" applyFont="1" applyBorder="1" applyAlignment="1">
      <alignment horizontal="left" vertical="center"/>
    </xf>
    <xf numFmtId="0" fontId="11" fillId="0" borderId="0" xfId="0" applyFont="1" applyAlignment="1">
      <alignment horizontal="left" vertical="center"/>
    </xf>
    <xf numFmtId="0" fontId="5" fillId="4" borderId="16" xfId="0" applyFont="1" applyFill="1" applyBorder="1" applyAlignment="1">
      <alignment horizontal="center" vertical="center" wrapText="1"/>
    </xf>
    <xf numFmtId="0" fontId="0" fillId="0" borderId="17" xfId="0" applyBorder="1" applyAlignment="1"/>
    <xf numFmtId="0" fontId="0" fillId="0" borderId="15" xfId="0" applyBorder="1" applyAlignment="1"/>
    <xf numFmtId="0" fontId="5" fillId="10" borderId="1" xfId="0" applyFont="1" applyFill="1" applyBorder="1" applyAlignment="1">
      <alignment horizontal="center" vertical="center" wrapText="1"/>
    </xf>
    <xf numFmtId="9" fontId="5" fillId="10" borderId="1" xfId="0" applyNumberFormat="1" applyFont="1" applyFill="1" applyBorder="1" applyAlignment="1">
      <alignment horizontal="center" vertical="center" wrapText="1"/>
    </xf>
    <xf numFmtId="0" fontId="0" fillId="11" borderId="1" xfId="0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 vertical="center" wrapText="1"/>
    </xf>
    <xf numFmtId="9" fontId="6" fillId="10" borderId="1" xfId="0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5" fillId="5" borderId="18" xfId="0" applyFont="1" applyFill="1" applyBorder="1" applyAlignment="1">
      <alignment horizontal="center" vertical="center" wrapText="1"/>
    </xf>
    <xf numFmtId="9" fontId="5" fillId="5" borderId="18" xfId="0" applyNumberFormat="1" applyFont="1" applyFill="1" applyBorder="1" applyAlignment="1">
      <alignment horizontal="center" vertical="center" wrapText="1"/>
    </xf>
    <xf numFmtId="0" fontId="8" fillId="5" borderId="18" xfId="0" applyFont="1" applyFill="1" applyBorder="1" applyAlignment="1">
      <alignment horizontal="center" vertical="center" wrapText="1"/>
    </xf>
    <xf numFmtId="9" fontId="5" fillId="5" borderId="1" xfId="3" applyFont="1" applyFill="1" applyBorder="1" applyAlignment="1">
      <alignment horizontal="center" vertical="center" wrapText="1"/>
    </xf>
    <xf numFmtId="0" fontId="0" fillId="0" borderId="19" xfId="0" applyBorder="1" applyAlignment="1"/>
    <xf numFmtId="0" fontId="7" fillId="0" borderId="20" xfId="0" applyFont="1" applyBorder="1" applyAlignment="1">
      <alignment horizontal="center" vertical="center" wrapText="1"/>
    </xf>
    <xf numFmtId="0" fontId="0" fillId="0" borderId="21" xfId="0" applyBorder="1" applyAlignment="1"/>
    <xf numFmtId="0" fontId="8" fillId="5" borderId="1" xfId="0" applyFont="1" applyFill="1" applyBorder="1" applyAlignment="1">
      <alignment horizontal="center" vertical="center" wrapText="1"/>
    </xf>
    <xf numFmtId="0" fontId="7" fillId="0" borderId="22" xfId="0" applyFont="1" applyBorder="1" applyAlignment="1">
      <alignment horizontal="center" vertical="center" wrapText="1"/>
    </xf>
    <xf numFmtId="176" fontId="8" fillId="0" borderId="23" xfId="0" applyNumberFormat="1" applyFont="1" applyBorder="1" applyAlignment="1">
      <alignment horizontal="center" vertical="center"/>
    </xf>
    <xf numFmtId="0" fontId="0" fillId="0" borderId="24" xfId="0" applyBorder="1" applyAlignment="1"/>
    <xf numFmtId="0" fontId="5" fillId="0" borderId="25" xfId="0" applyFont="1" applyBorder="1" applyAlignment="1">
      <alignment horizontal="center" vertical="center"/>
    </xf>
    <xf numFmtId="0" fontId="8" fillId="10" borderId="25" xfId="0" applyFont="1" applyFill="1" applyBorder="1" applyAlignment="1">
      <alignment horizontal="center" vertical="center"/>
    </xf>
    <xf numFmtId="9" fontId="8" fillId="10" borderId="25" xfId="0" applyNumberFormat="1" applyFont="1" applyFill="1" applyBorder="1" applyAlignment="1">
      <alignment horizontal="center" vertical="center" wrapText="1"/>
    </xf>
    <xf numFmtId="0" fontId="8" fillId="0" borderId="25" xfId="0" applyFont="1" applyBorder="1" applyAlignment="1">
      <alignment horizontal="center" vertical="center"/>
    </xf>
    <xf numFmtId="9" fontId="8" fillId="0" borderId="26" xfId="0" applyNumberFormat="1" applyFont="1" applyBorder="1" applyAlignment="1">
      <alignment horizontal="center" vertical="center" wrapText="1"/>
    </xf>
    <xf numFmtId="9" fontId="8" fillId="0" borderId="27" xfId="0" applyNumberFormat="1" applyFont="1" applyBorder="1" applyAlignment="1">
      <alignment horizontal="center" vertical="center" wrapText="1"/>
    </xf>
    <xf numFmtId="176" fontId="5" fillId="0" borderId="25" xfId="0" applyNumberFormat="1" applyFont="1" applyBorder="1" applyAlignment="1">
      <alignment horizontal="center" vertical="center" wrapText="1"/>
    </xf>
    <xf numFmtId="9" fontId="8" fillId="0" borderId="21" xfId="0" applyNumberFormat="1" applyFont="1" applyBorder="1" applyAlignment="1">
      <alignment horizontal="center" vertical="center"/>
    </xf>
    <xf numFmtId="0" fontId="9" fillId="0" borderId="28" xfId="0" applyFont="1" applyBorder="1" applyAlignment="1">
      <alignment horizontal="center" vertical="center"/>
    </xf>
    <xf numFmtId="176" fontId="5" fillId="0" borderId="27" xfId="0" applyNumberFormat="1" applyFont="1" applyBorder="1" applyAlignment="1">
      <alignment horizontal="center" vertical="center"/>
    </xf>
    <xf numFmtId="0" fontId="5" fillId="0" borderId="29" xfId="0" applyFont="1" applyBorder="1" applyAlignment="1">
      <alignment horizontal="center" vertical="center" wrapText="1"/>
    </xf>
    <xf numFmtId="0" fontId="5" fillId="10" borderId="21" xfId="0" applyFont="1" applyFill="1" applyBorder="1" applyAlignment="1">
      <alignment horizontal="center" vertical="center" wrapText="1"/>
    </xf>
    <xf numFmtId="0" fontId="6" fillId="10" borderId="21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 wrapText="1"/>
    </xf>
    <xf numFmtId="0" fontId="0" fillId="0" borderId="25" xfId="0" applyBorder="1" applyAlignment="1"/>
    <xf numFmtId="0" fontId="0" fillId="0" borderId="26" xfId="0" applyBorder="1" applyAlignment="1"/>
    <xf numFmtId="0" fontId="0" fillId="0" borderId="27" xfId="0" applyBorder="1" applyAlignment="1"/>
    <xf numFmtId="0" fontId="0" fillId="0" borderId="28" xfId="0" applyBorder="1" applyAlignment="1"/>
    <xf numFmtId="0" fontId="5" fillId="0" borderId="13" xfId="0" applyFont="1" applyBorder="1" applyAlignment="1">
      <alignment horizontal="center" vertical="center" wrapText="1"/>
    </xf>
    <xf numFmtId="0" fontId="5" fillId="10" borderId="30" xfId="0" applyFont="1" applyFill="1" applyBorder="1" applyAlignment="1">
      <alignment horizontal="center" vertical="center" wrapText="1"/>
    </xf>
    <xf numFmtId="0" fontId="6" fillId="10" borderId="30" xfId="0" applyFont="1" applyFill="1" applyBorder="1" applyAlignment="1">
      <alignment horizontal="center" vertical="center"/>
    </xf>
    <xf numFmtId="0" fontId="18" fillId="12" borderId="31" xfId="0" applyFont="1" applyFill="1" applyBorder="1" applyAlignment="1">
      <alignment horizontal="center" vertical="center"/>
    </xf>
    <xf numFmtId="0" fontId="0" fillId="0" borderId="32" xfId="0" applyBorder="1" applyAlignment="1"/>
    <xf numFmtId="0" fontId="0" fillId="0" borderId="33" xfId="0" applyBorder="1" applyAlignment="1"/>
    <xf numFmtId="0" fontId="18" fillId="12" borderId="34" xfId="0" applyFont="1" applyFill="1" applyBorder="1" applyAlignment="1">
      <alignment horizontal="center" vertical="center"/>
    </xf>
    <xf numFmtId="0" fontId="19" fillId="13" borderId="35" xfId="0" applyFont="1" applyFill="1" applyBorder="1" applyAlignment="1">
      <alignment horizontal="center" vertical="center" wrapText="1"/>
    </xf>
    <xf numFmtId="0" fontId="0" fillId="0" borderId="36" xfId="0" applyBorder="1" applyAlignment="1"/>
    <xf numFmtId="0" fontId="0" fillId="0" borderId="37" xfId="0" applyBorder="1" applyAlignment="1"/>
    <xf numFmtId="0" fontId="19" fillId="13" borderId="34" xfId="0" applyFont="1" applyFill="1" applyBorder="1" applyAlignment="1">
      <alignment horizontal="center" vertical="center" wrapText="1"/>
    </xf>
    <xf numFmtId="0" fontId="20" fillId="14" borderId="0" xfId="0" applyFont="1" applyFill="1" applyAlignment="1">
      <alignment horizontal="center" vertical="center"/>
    </xf>
    <xf numFmtId="0" fontId="3" fillId="2" borderId="38" xfId="0" applyFont="1" applyFill="1" applyBorder="1" applyAlignment="1">
      <alignment horizontal="center" vertical="center"/>
    </xf>
    <xf numFmtId="0" fontId="3" fillId="2" borderId="39" xfId="0" applyFont="1" applyFill="1" applyBorder="1" applyAlignment="1">
      <alignment horizontal="center" vertical="center"/>
    </xf>
    <xf numFmtId="0" fontId="3" fillId="2" borderId="40" xfId="0" applyFont="1" applyFill="1" applyBorder="1" applyAlignment="1">
      <alignment horizontal="center" vertical="center"/>
    </xf>
    <xf numFmtId="0" fontId="21" fillId="15" borderId="41" xfId="0" applyFont="1" applyFill="1" applyBorder="1" applyAlignment="1">
      <alignment horizontal="center" vertical="center" wrapText="1"/>
    </xf>
    <xf numFmtId="0" fontId="22" fillId="16" borderId="42" xfId="0" applyFont="1" applyFill="1" applyBorder="1" applyAlignment="1">
      <alignment horizontal="center" vertical="center"/>
    </xf>
    <xf numFmtId="0" fontId="23" fillId="17" borderId="43" xfId="0" applyFont="1" applyFill="1" applyBorder="1" applyAlignment="1">
      <alignment horizontal="center" vertical="center"/>
    </xf>
    <xf numFmtId="0" fontId="23" fillId="17" borderId="44" xfId="0" applyFont="1" applyFill="1" applyBorder="1" applyAlignment="1">
      <alignment horizontal="center" vertical="center"/>
    </xf>
    <xf numFmtId="0" fontId="24" fillId="18" borderId="41" xfId="0" applyFont="1" applyFill="1" applyBorder="1" applyAlignment="1">
      <alignment horizontal="center" vertical="center"/>
    </xf>
    <xf numFmtId="0" fontId="5" fillId="19" borderId="41" xfId="0" applyFont="1" applyFill="1" applyBorder="1" applyAlignment="1">
      <alignment horizontal="center" vertical="center"/>
    </xf>
    <xf numFmtId="9" fontId="13" fillId="19" borderId="41" xfId="0" applyNumberFormat="1" applyFont="1" applyFill="1" applyBorder="1" applyAlignment="1">
      <alignment horizontal="center" vertical="center"/>
    </xf>
    <xf numFmtId="0" fontId="22" fillId="20" borderId="42" xfId="0" applyFont="1" applyFill="1" applyBorder="1" applyAlignment="1">
      <alignment horizontal="center" vertical="center"/>
    </xf>
    <xf numFmtId="0" fontId="23" fillId="21" borderId="43" xfId="0" applyFont="1" applyFill="1" applyBorder="1" applyAlignment="1">
      <alignment horizontal="center" vertical="center"/>
    </xf>
    <xf numFmtId="0" fontId="23" fillId="21" borderId="44" xfId="0" applyFont="1" applyFill="1" applyBorder="1" applyAlignment="1">
      <alignment horizontal="center" vertical="center"/>
    </xf>
    <xf numFmtId="0" fontId="0" fillId="0" borderId="45" xfId="0" applyBorder="1" applyAlignment="1"/>
    <xf numFmtId="0" fontId="5" fillId="22" borderId="41" xfId="0" applyFont="1" applyFill="1" applyBorder="1" applyAlignment="1">
      <alignment horizontal="center" vertical="center"/>
    </xf>
    <xf numFmtId="9" fontId="13" fillId="22" borderId="41" xfId="0" applyNumberFormat="1" applyFont="1" applyFill="1" applyBorder="1" applyAlignment="1">
      <alignment horizontal="center" vertical="center"/>
    </xf>
    <xf numFmtId="0" fontId="22" fillId="23" borderId="42" xfId="0" applyFont="1" applyFill="1" applyBorder="1" applyAlignment="1">
      <alignment horizontal="center" vertical="center"/>
    </xf>
    <xf numFmtId="0" fontId="23" fillId="24" borderId="43" xfId="0" applyFont="1" applyFill="1" applyBorder="1" applyAlignment="1">
      <alignment horizontal="center" vertical="center"/>
    </xf>
    <xf numFmtId="0" fontId="23" fillId="24" borderId="44" xfId="0" applyFont="1" applyFill="1" applyBorder="1" applyAlignment="1">
      <alignment horizontal="center" vertical="center"/>
    </xf>
    <xf numFmtId="0" fontId="23" fillId="22" borderId="42" xfId="0" applyFont="1" applyFill="1" applyBorder="1" applyAlignment="1">
      <alignment horizontal="center" vertical="center"/>
    </xf>
    <xf numFmtId="0" fontId="23" fillId="22" borderId="43" xfId="0" applyFont="1" applyFill="1" applyBorder="1" applyAlignment="1">
      <alignment horizontal="center" vertical="center"/>
    </xf>
    <xf numFmtId="0" fontId="23" fillId="22" borderId="44" xfId="0" applyFont="1" applyFill="1" applyBorder="1" applyAlignment="1">
      <alignment horizontal="center" vertical="center"/>
    </xf>
    <xf numFmtId="0" fontId="23" fillId="25" borderId="42" xfId="0" applyFont="1" applyFill="1" applyBorder="1" applyAlignment="1">
      <alignment horizontal="center" vertical="center"/>
    </xf>
    <xf numFmtId="0" fontId="23" fillId="25" borderId="43" xfId="0" applyFont="1" applyFill="1" applyBorder="1" applyAlignment="1">
      <alignment horizontal="center" vertical="center"/>
    </xf>
    <xf numFmtId="0" fontId="23" fillId="25" borderId="44" xfId="0" applyFont="1" applyFill="1" applyBorder="1" applyAlignment="1">
      <alignment horizontal="center" vertical="center"/>
    </xf>
    <xf numFmtId="0" fontId="0" fillId="0" borderId="46" xfId="0" applyBorder="1" applyAlignment="1"/>
    <xf numFmtId="0" fontId="21" fillId="15" borderId="41" xfId="0" applyFont="1" applyFill="1" applyBorder="1" applyAlignment="1">
      <alignment horizontal="center" vertical="center"/>
    </xf>
    <xf numFmtId="0" fontId="0" fillId="0" borderId="47" xfId="0" applyBorder="1" applyAlignment="1"/>
    <xf numFmtId="9" fontId="21" fillId="15" borderId="41" xfId="0" applyNumberFormat="1" applyFont="1" applyFill="1" applyBorder="1" applyAlignment="1">
      <alignment horizontal="center" vertical="center"/>
    </xf>
    <xf numFmtId="0" fontId="23" fillId="22" borderId="48" xfId="0" applyFont="1" applyFill="1" applyBorder="1" applyAlignment="1">
      <alignment horizontal="center" vertical="center"/>
    </xf>
    <xf numFmtId="0" fontId="23" fillId="22" borderId="49" xfId="0" applyFont="1" applyFill="1" applyBorder="1" applyAlignment="1">
      <alignment horizontal="center" vertical="center"/>
    </xf>
    <xf numFmtId="0" fontId="23" fillId="22" borderId="50" xfId="0" applyFont="1" applyFill="1" applyBorder="1" applyAlignment="1">
      <alignment horizontal="center" vertical="center"/>
    </xf>
    <xf numFmtId="0" fontId="25" fillId="26" borderId="1" xfId="0" applyFont="1" applyFill="1" applyBorder="1" applyAlignment="1">
      <alignment horizontal="center" vertical="center"/>
    </xf>
    <xf numFmtId="0" fontId="0" fillId="0" borderId="14" xfId="0" applyBorder="1" applyAlignment="1"/>
    <xf numFmtId="0" fontId="0" fillId="0" borderId="51" xfId="0" applyBorder="1" applyAlignment="1"/>
    <xf numFmtId="0" fontId="26" fillId="27" borderId="0" xfId="0" applyFont="1" applyFill="1" applyAlignment="1">
      <alignment horizontal="center" vertical="center"/>
    </xf>
    <xf numFmtId="0" fontId="3" fillId="28" borderId="52" xfId="0" applyFont="1" applyFill="1" applyBorder="1" applyAlignment="1">
      <alignment horizontal="center" vertical="center"/>
    </xf>
    <xf numFmtId="0" fontId="27" fillId="28" borderId="52" xfId="0" applyFont="1" applyFill="1" applyBorder="1" applyAlignment="1">
      <alignment horizontal="center" vertical="center" wrapText="1"/>
    </xf>
    <xf numFmtId="0" fontId="28" fillId="26" borderId="53" xfId="0" applyFont="1" applyFill="1" applyBorder="1" applyAlignment="1">
      <alignment horizontal="center" vertical="center" wrapText="1"/>
    </xf>
    <xf numFmtId="0" fontId="29" fillId="29" borderId="54" xfId="0" applyFont="1" applyFill="1" applyBorder="1" applyAlignment="1">
      <alignment horizontal="center" vertical="center"/>
    </xf>
    <xf numFmtId="9" fontId="29" fillId="29" borderId="54" xfId="0" applyNumberFormat="1" applyFont="1" applyFill="1" applyBorder="1" applyAlignment="1">
      <alignment horizontal="center" vertical="center"/>
    </xf>
    <xf numFmtId="0" fontId="0" fillId="0" borderId="55" xfId="0" applyBorder="1" applyAlignment="1"/>
    <xf numFmtId="0" fontId="30" fillId="29" borderId="54" xfId="0" applyFont="1" applyFill="1" applyBorder="1" applyAlignment="1">
      <alignment horizontal="center" vertical="center"/>
    </xf>
    <xf numFmtId="0" fontId="28" fillId="30" borderId="10" xfId="0" applyFont="1" applyFill="1" applyBorder="1" applyAlignment="1">
      <alignment horizontal="center" vertical="center" wrapText="1"/>
    </xf>
    <xf numFmtId="0" fontId="29" fillId="31" borderId="56" xfId="0" applyFont="1" applyFill="1" applyBorder="1" applyAlignment="1">
      <alignment horizontal="center" vertical="center"/>
    </xf>
    <xf numFmtId="0" fontId="29" fillId="31" borderId="54" xfId="0" applyFont="1" applyFill="1" applyBorder="1" applyAlignment="1">
      <alignment horizontal="center" vertical="center"/>
    </xf>
    <xf numFmtId="9" fontId="29" fillId="31" borderId="54" xfId="0" applyNumberFormat="1" applyFont="1" applyFill="1" applyBorder="1" applyAlignment="1">
      <alignment horizontal="center" vertical="center"/>
    </xf>
    <xf numFmtId="0" fontId="30" fillId="31" borderId="56" xfId="0" applyFont="1" applyFill="1" applyBorder="1" applyAlignment="1">
      <alignment horizontal="left" vertical="center"/>
    </xf>
    <xf numFmtId="0" fontId="11" fillId="9" borderId="10" xfId="0" applyFont="1" applyFill="1" applyBorder="1" applyAlignment="1">
      <alignment horizontal="center" vertical="center" wrapText="1"/>
    </xf>
    <xf numFmtId="0" fontId="11" fillId="7" borderId="20" xfId="0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4">
    <dxf>
      <alignment vertical="center"/>
    </dxf>
    <dxf>
      <numFmt numFmtId="0" formatCode="General"/>
      <alignment vertical="center"/>
    </dxf>
    <dxf>
      <alignment vertical="center"/>
    </dxf>
    <dxf>
      <alignment vertical="center"/>
    </dxf>
    <dxf>
      <numFmt numFmtId="0" formatCode="General"/>
      <alignment vertical="center"/>
    </dxf>
    <dxf>
      <numFmt numFmtId="0" formatCode="General"/>
      <alignment vertical="center"/>
    </dxf>
    <dxf>
      <fill>
        <patternFill patternType="solid">
          <bgColor rgb="FFFFFF00"/>
        </patternFill>
      </fill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ont>
        <name val="微软雅黑"/>
        <scheme val="none"/>
        <charset val="134"/>
        <family val="0"/>
        <strike val="0"/>
        <sz val="11"/>
        <color rgb="FF000000"/>
      </font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微软雅黑"/>
        <scheme val="none"/>
        <charset val="134"/>
        <family val="0"/>
        <strike val="0"/>
        <sz val="11"/>
        <color rgb="FF000000"/>
      </font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微软雅黑"/>
        <scheme val="none"/>
        <charset val="134"/>
        <family val="0"/>
        <strike val="0"/>
        <sz val="11"/>
        <color rgb="FF000000"/>
      </font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微软雅黑"/>
        <scheme val="none"/>
        <charset val="134"/>
        <family val="0"/>
        <strike val="0"/>
        <sz val="11"/>
        <color rgb="FF000000"/>
      </font>
      <numFmt numFmtId="9" formatCode="0%"/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微软雅黑"/>
        <scheme val="none"/>
        <charset val="134"/>
        <family val="0"/>
        <strike val="0"/>
        <sz val="11"/>
        <color rgb="FF000000"/>
      </font>
      <numFmt numFmtId="176" formatCode="0_ "/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微软雅黑"/>
        <scheme val="none"/>
        <charset val="134"/>
        <family val="0"/>
        <strike val="0"/>
        <sz val="11"/>
        <color rgb="FF000000"/>
      </font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微软雅黑"/>
        <scheme val="none"/>
        <charset val="134"/>
        <family val="0"/>
        <strike val="0"/>
        <sz val="11"/>
        <color rgb="FF000000"/>
      </font>
      <numFmt numFmtId="9" formatCode="0%"/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微软雅黑"/>
        <scheme val="none"/>
        <charset val="134"/>
        <family val="0"/>
        <strike val="0"/>
        <sz val="11"/>
        <color rgb="FF000000"/>
      </font>
      <numFmt numFmtId="176" formatCode="0_ "/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微软雅黑"/>
        <scheme val="none"/>
        <charset val="134"/>
        <family val="0"/>
        <strike val="0"/>
        <sz val="11"/>
        <color rgb="FF000000"/>
      </font>
      <numFmt numFmtId="176" formatCode="0_ "/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微软雅黑"/>
        <scheme val="none"/>
        <charset val="134"/>
        <family val="0"/>
        <strike val="0"/>
        <sz val="11"/>
        <color rgb="FF000000"/>
      </font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微软雅黑"/>
        <scheme val="none"/>
        <charset val="134"/>
        <family val="0"/>
        <strike val="0"/>
        <sz val="11"/>
        <color rgb="FF000000"/>
      </font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微软雅黑"/>
        <scheme val="none"/>
        <charset val="134"/>
        <family val="0"/>
        <strike val="0"/>
        <sz val="11"/>
        <color theme="1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微软雅黑"/>
        <scheme val="none"/>
        <charset val="134"/>
        <family val="0"/>
        <strike val="0"/>
        <sz val="11"/>
        <color theme="1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微软雅黑"/>
        <scheme val="none"/>
        <charset val="134"/>
        <family val="0"/>
        <strike val="0"/>
        <sz val="11"/>
        <color theme="1"/>
      </font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name val="微软雅黑"/>
        <scheme val="none"/>
        <charset val="134"/>
        <family val="0"/>
        <strike val="0"/>
        <sz val="11"/>
        <color theme="1"/>
      </font>
      <numFmt numFmtId="9" formatCode="0%"/>
      <alignment horizontal="center" vertic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43"/>
      <tableStyleElement type="headerRow" dxfId="42"/>
      <tableStyleElement type="totalRow" dxfId="41"/>
      <tableStyleElement type="firstColumn" dxfId="40"/>
      <tableStyleElement type="lastColumn" dxfId="39"/>
      <tableStyleElement type="firstRowStripe" dxfId="38"/>
      <tableStyleElement type="firstColumnStripe" dxfId="37"/>
    </tableStyle>
    <tableStyle name="PivotStylePreset2_Accent1" table="0" count="10" xr9:uid="{267968C8-6FFD-4C36-ACC1-9EA1FD1885CA}">
      <tableStyleElement type="headerRow" dxfId="53"/>
      <tableStyleElement type="totalRow" dxfId="52"/>
      <tableStyleElement type="firstRowStripe" dxfId="51"/>
      <tableStyleElement type="firstColumnStripe" dxfId="50"/>
      <tableStyleElement type="firstSubtotalRow" dxfId="49"/>
      <tableStyleElement type="secondSubtotalRow" dxfId="48"/>
      <tableStyleElement type="firstRowSubheading" dxfId="47"/>
      <tableStyleElement type="secondRowSubheading" dxfId="46"/>
      <tableStyleElement type="pageFieldLabels" dxfId="45"/>
      <tableStyleElement type="pageFieldValues" dxfId="4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4" Type="http://schemas.openxmlformats.org/officeDocument/2006/relationships/styles" Target="styles.xml"/><Relationship Id="rId13" Type="http://schemas.openxmlformats.org/officeDocument/2006/relationships/sheetMetadata" Target="metadata.xml"/><Relationship Id="rId12" Type="http://schemas.openxmlformats.org/officeDocument/2006/relationships/sharedStrings" Target="sharedStrings.xml"/><Relationship Id="rId11" Type="http://schemas.openxmlformats.org/officeDocument/2006/relationships/theme" Target="theme/theme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表5_11" displayName="表5_11" ref="O27:P41" totalsRowShown="0">
  <sortState ref="O27:P41">
    <sortCondition ref="P26:P40" descending="1"/>
  </sortState>
  <tableColumns count="2">
    <tableColumn id="1" name="客户经理" dataDxfId="0">
      <calculatedColumnFormula>商机统计!F2</calculatedColumnFormula>
    </tableColumn>
    <tableColumn id="3" name="户数" dataDxfId="1">
      <calculatedColumnFormula>商机统计!G2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表5_111617" displayName="表5_111617" ref="J27:M41" totalsRowShown="0">
  <sortState ref="J27:M41">
    <sortCondition ref="L26:L40" descending="1"/>
  </sortState>
  <tableColumns count="4">
    <tableColumn id="1" name="客户经理" dataDxfId="2">
      <calculatedColumnFormula>商机统计!A2</calculatedColumnFormula>
    </tableColumn>
    <tableColumn id="2" name="户数" dataDxfId="3">
      <calculatedColumnFormula>商机统计!B2</calculatedColumnFormula>
    </tableColumn>
    <tableColumn id="3" name="高套累计数" dataDxfId="4">
      <calculatedColumnFormula>商机统计!C4</calculatedColumnFormula>
    </tableColumn>
    <tableColumn id="4" name="积分累计数" dataDxfId="5">
      <calculatedColumnFormula>商机统计!D4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表5_2" displayName="表5_2" ref="B26:H41" totalsRowShown="0">
  <autoFilter xmlns:etc="http://www.wps.cn/officeDocument/2017/etCustomData" ref="B26:H41" etc:filterBottomFollowUsedRange="0"/>
  <sortState ref="B26:H41">
    <sortCondition ref="F26:F41" descending="1"/>
  </sortState>
  <tableColumns count="7">
    <tableColumn id="1" name="客户经理" dataDxfId="7"/>
    <tableColumn id="2" name="本月走访任务数" dataDxfId="8"/>
    <tableColumn id="3" name="走访进度目标数" dataDxfId="9"/>
    <tableColumn id="4" name="累计走访数" dataDxfId="10"/>
    <tableColumn id="5" name="时间进度完成率" dataDxfId="11"/>
    <tableColumn id="6" name="排名" dataDxfId="12"/>
    <tableColumn id="7" name="取数来源：841工作台" dataDxfId="13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表2" displayName="表2" ref="B4:P19" totalsRowShown="0">
  <autoFilter xmlns:etc="http://www.wps.cn/officeDocument/2017/etCustomData" ref="B4:P19" etc:filterBottomFollowUsedRange="0"/>
  <sortState ref="B4:P19">
    <sortCondition ref="H4" descending="1"/>
  </sortState>
  <tableColumns count="15">
    <tableColumn id="1" name="客户经理" dataDxfId="14"/>
    <tableColumn id="2" name="高套目标" dataDxfId="15"/>
    <tableColumn id="3" name="高套发展" dataDxfId="16"/>
    <tableColumn id="4" name="高套完成率" dataDxfId="17"/>
    <tableColumn id="5" name="积分完成" dataDxfId="18"/>
    <tableColumn id="6" name="积分任务值" dataDxfId="19"/>
    <tableColumn id="7" name="时间进度完成率" dataDxfId="20"/>
    <tableColumn id="8" name="排名" dataDxfId="21"/>
    <tableColumn id="9" name="新增积分（全业务）" dataDxfId="22"/>
    <tableColumn id="10" name="新增积分及月度增量积分均&lt;550 分" dataDxfId="23"/>
    <tableColumn id="11" name="发展目标" dataDxfId="24"/>
    <tableColumn id="12" name="发展户数" dataDxfId="25"/>
    <tableColumn id="13" name="主网关数量" dataDxfId="26"/>
    <tableColumn id="14" name="从网关数量" dataDxfId="27"/>
    <tableColumn id="15" name="完成率" dataDxfId="28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表3_12" displayName="表3_12" ref="A1:D15" totalsRowShown="0">
  <sortState ref="A1:D15">
    <sortCondition ref="C3:C17" descending="1"/>
  </sortState>
  <tableColumns count="4">
    <tableColumn id="1" name="客户经理" dataDxfId="29"/>
    <tableColumn id="2" name="户数" dataDxfId="30"/>
    <tableColumn id="3" name="高套累计数" dataDxfId="31"/>
    <tableColumn id="4" name="积分累计数" dataDxfId="32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表5_1113" displayName="表5_1113" ref="F1:I2" totalsRowShown="0">
  <sortState ref="F1:I2">
    <sortCondition ref="H3:H17" descending="1"/>
  </sortState>
  <tableColumns count="4">
    <tableColumn id="1" name="客户经理" dataDxfId="33"/>
    <tableColumn id="2" name="户数" dataDxfId="34"/>
    <tableColumn id="3" name="高套累计数" dataDxfId="35"/>
    <tableColumn id="4" name="积分累计数" dataDxfId="3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03"/>
  <sheetViews>
    <sheetView tabSelected="1" workbookViewId="0">
      <selection activeCell="M62" sqref="M62"/>
    </sheetView>
  </sheetViews>
  <sheetFormatPr defaultColWidth="10.6363636363636" defaultRowHeight="14"/>
  <cols>
    <col min="4" max="4" width="9.25454545454545" style="3" customWidth="1"/>
    <col min="5" max="5" width="9.90909090909091" style="3" customWidth="1"/>
    <col min="6" max="6" width="9.25454545454545" style="3" customWidth="1"/>
    <col min="8" max="8" width="12.6272727272727" style="3" customWidth="1"/>
    <col min="9" max="9" width="9.25454545454545" style="3" customWidth="1"/>
    <col min="10" max="10" width="10.9" style="3" customWidth="1"/>
    <col min="13" max="13" width="9.36363636363636" style="3" customWidth="1"/>
    <col min="14" max="14" width="10.6363636363636" style="3" customWidth="1"/>
  </cols>
  <sheetData>
    <row r="1" ht="14.25" customHeight="1" spans="1:23">
      <c r="A1" s="97" t="s">
        <v>0</v>
      </c>
      <c r="B1" s="17" t="str">
        <f ca="1">"完美一单积分完成通报（截至"&amp;MONTH(TODAY()-1)&amp;"月"&amp;DAY(TODAY()-1)&amp;"日）"</f>
        <v>完美一单积分完成通报（截至4月27日）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4"/>
      <c r="Q1" s="15"/>
    </row>
    <row r="2" ht="16.5" customHeight="1" spans="1:23">
      <c r="A2" s="98"/>
      <c r="B2" s="17" t="s">
        <v>1</v>
      </c>
      <c r="C2" s="14"/>
      <c r="D2" s="14"/>
      <c r="E2" s="14"/>
      <c r="F2" s="14"/>
      <c r="G2" s="14"/>
      <c r="H2" s="15"/>
      <c r="I2" s="17" t="s">
        <v>2</v>
      </c>
      <c r="J2" s="14"/>
      <c r="K2" s="14"/>
      <c r="L2" s="14"/>
      <c r="M2" s="14"/>
      <c r="N2" s="15"/>
      <c r="O2" s="17" t="s">
        <v>3</v>
      </c>
      <c r="P2" s="14"/>
      <c r="Q2" s="15"/>
      <c r="S2" t="s">
        <v>4</v>
      </c>
    </row>
    <row r="3" ht="70" customHeight="1" spans="1:23">
      <c r="A3" s="99"/>
      <c r="B3" s="17" t="s">
        <v>5</v>
      </c>
      <c r="C3" s="17" t="s">
        <v>6</v>
      </c>
      <c r="D3" s="17" t="s">
        <v>7</v>
      </c>
      <c r="E3" s="17" t="s">
        <v>8</v>
      </c>
      <c r="F3" s="17" t="s">
        <v>9</v>
      </c>
      <c r="G3" s="17" t="s">
        <v>10</v>
      </c>
      <c r="H3" s="17" t="s">
        <v>11</v>
      </c>
      <c r="I3" s="17" t="s">
        <v>12</v>
      </c>
      <c r="J3" s="17" t="s">
        <v>13</v>
      </c>
      <c r="K3" s="17" t="s">
        <v>14</v>
      </c>
      <c r="L3" s="17" t="s">
        <v>15</v>
      </c>
      <c r="M3" s="17" t="s">
        <v>16</v>
      </c>
      <c r="N3" s="17" t="s">
        <v>17</v>
      </c>
      <c r="O3" s="17" t="s">
        <v>18</v>
      </c>
      <c r="P3" s="17" t="s">
        <v>19</v>
      </c>
      <c r="Q3" s="18" t="s">
        <v>20</v>
      </c>
      <c r="R3" s="19" t="s">
        <v>21</v>
      </c>
    </row>
    <row r="4" ht="14.25" customHeight="1" spans="1:23">
      <c r="A4" s="97" t="s">
        <v>22</v>
      </c>
      <c r="B4" s="20" t="s">
        <v>23</v>
      </c>
      <c r="C4" s="20">
        <v>8.8</v>
      </c>
      <c r="D4" s="100">
        <f>_xlfn.XLOOKUP(B4,高套!A:A,高套!B:B,0)</f>
        <v>0.5</v>
      </c>
      <c r="E4" s="101">
        <f t="shared" ref="E4:E20" si="0">D4/C4</f>
        <v>0.0568181818181818</v>
      </c>
      <c r="F4" s="20">
        <f>_xlfn.XLOOKUP(B4,红黄牌高套!A:A,红黄牌高套!B:B,0)</f>
        <v>1</v>
      </c>
      <c r="G4" s="102" t="str">
        <f t="shared" ref="G4:G10" si="1">IF(F4&gt;=3,"否","是")</f>
        <v>是</v>
      </c>
      <c r="H4" s="21">
        <f t="shared" ref="H4:H20" si="2">D4/F4</f>
        <v>0.5</v>
      </c>
      <c r="I4" s="22">
        <f ca="1">VLOOKUP(B:B,完美一单!A:C,3,0)</f>
        <v>201</v>
      </c>
      <c r="J4" s="20">
        <v>2500</v>
      </c>
      <c r="K4" s="21">
        <f ca="1" t="shared" ref="K4:K20" si="3">I4/(J4/31*B$23)</f>
        <v>0.0923111111111111</v>
      </c>
      <c r="L4" s="22">
        <f ca="1" t="shared" ref="L4:L10" si="4">VLOOKUP(B:B,U:W,3,0)</f>
        <v>14</v>
      </c>
      <c r="M4" s="22">
        <f ca="1">VLOOKUP(B:B,完美一单!A:D,4,0)</f>
        <v>171</v>
      </c>
      <c r="N4" s="20" t="str">
        <f ca="1" t="shared" ref="N4:N10" si="5">IF(AND(M4&lt;550,I4&lt;550),"否","")</f>
        <v>否</v>
      </c>
      <c r="O4" s="100">
        <v>25</v>
      </c>
      <c r="P4" s="103">
        <f>_xlfn.XLOOKUP(B4,全光组网!A:A,全光组网!B:B,0)</f>
        <v>0</v>
      </c>
      <c r="Q4" s="104">
        <f t="shared" ref="Q4:Q19" si="6">P4/O4</f>
        <v>0</v>
      </c>
    </row>
    <row r="5" ht="16.5" customHeight="1" spans="1:23">
      <c r="A5" s="98"/>
      <c r="B5" s="20" t="s">
        <v>24</v>
      </c>
      <c r="C5" s="20">
        <v>8.8</v>
      </c>
      <c r="D5" s="100">
        <f>_xlfn.XLOOKUP(B5,高套!A:A,高套!B:B,0)</f>
        <v>3.5</v>
      </c>
      <c r="E5" s="101">
        <f t="shared" si="0"/>
        <v>0.397727272727273</v>
      </c>
      <c r="F5" s="20">
        <f>_xlfn.XLOOKUP(B5,红黄牌高套!A:A,红黄牌高套!B:B,0)</f>
        <v>4</v>
      </c>
      <c r="G5" s="105" t="str">
        <f t="shared" si="1"/>
        <v>否</v>
      </c>
      <c r="H5" s="21">
        <f t="shared" si="2"/>
        <v>0.875</v>
      </c>
      <c r="I5" s="22">
        <f ca="1">VLOOKUP(B:B,完美一单!A:C,3,0)</f>
        <v>798.66</v>
      </c>
      <c r="J5" s="20">
        <v>2500</v>
      </c>
      <c r="K5" s="21">
        <f ca="1" t="shared" si="3"/>
        <v>0.366792</v>
      </c>
      <c r="L5" s="22">
        <f ca="1" t="shared" si="4"/>
        <v>9</v>
      </c>
      <c r="M5" s="22">
        <f ca="1">VLOOKUP(B:B,完美一单!A:D,4,0)</f>
        <v>800.66</v>
      </c>
      <c r="N5" s="20" t="str">
        <f ca="1" t="shared" si="5"/>
        <v/>
      </c>
      <c r="O5" s="100">
        <v>25</v>
      </c>
      <c r="P5" s="103">
        <f>_xlfn.XLOOKUP(B5,全光组网!A:A,全光组网!B:B,0)</f>
        <v>0</v>
      </c>
      <c r="Q5" s="104">
        <f t="shared" si="6"/>
        <v>0</v>
      </c>
    </row>
    <row r="6" ht="16.5" customHeight="1" spans="1:23">
      <c r="A6" s="98"/>
      <c r="B6" s="20" t="s">
        <v>25</v>
      </c>
      <c r="C6" s="20">
        <v>8.8</v>
      </c>
      <c r="D6" s="100">
        <f>_xlfn.XLOOKUP(B6,高套!A:A,高套!B:B,0)</f>
        <v>0</v>
      </c>
      <c r="E6" s="101">
        <f t="shared" si="0"/>
        <v>0</v>
      </c>
      <c r="F6" s="20">
        <f>_xlfn.XLOOKUP(B6,红黄牌高套!A:A,红黄牌高套!B:B,0)</f>
        <v>2</v>
      </c>
      <c r="G6" s="105" t="str">
        <f t="shared" si="1"/>
        <v>是</v>
      </c>
      <c r="H6" s="21">
        <f t="shared" si="2"/>
        <v>0</v>
      </c>
      <c r="I6" s="22">
        <f ca="1">VLOOKUP(B:B,完美一单!A:C,3,0)</f>
        <v>332.4</v>
      </c>
      <c r="J6" s="20">
        <v>2500</v>
      </c>
      <c r="K6" s="21">
        <f ca="1" t="shared" si="3"/>
        <v>0.152657777777778</v>
      </c>
      <c r="L6" s="22">
        <f ca="1" t="shared" si="4"/>
        <v>13</v>
      </c>
      <c r="M6" s="22">
        <f ca="1">VLOOKUP(B:B,完美一单!A:D,4,0)</f>
        <v>397</v>
      </c>
      <c r="N6" s="20" t="str">
        <f ca="1" t="shared" si="5"/>
        <v>否</v>
      </c>
      <c r="O6" s="100">
        <v>25</v>
      </c>
      <c r="P6" s="103">
        <f>_xlfn.XLOOKUP(B6,全光组网!A:A,全光组网!B:B,0)</f>
        <v>0</v>
      </c>
      <c r="Q6" s="104">
        <f t="shared" si="6"/>
        <v>0</v>
      </c>
      <c r="U6" s="25" t="s">
        <v>23</v>
      </c>
      <c r="V6">
        <f ca="1" t="shared" ref="V6:V19" si="7">VLOOKUP(U:U,B:I,8,0)</f>
        <v>201</v>
      </c>
      <c r="W6">
        <f ca="1" t="shared" ref="W6:W19" si="8">RANK(V6,V$6:V$21,0)</f>
        <v>14</v>
      </c>
    </row>
    <row r="7" ht="16.5" customHeight="1" spans="1:23">
      <c r="A7" s="98"/>
      <c r="B7" s="20" t="s">
        <v>26</v>
      </c>
      <c r="C7" s="20">
        <v>8.8</v>
      </c>
      <c r="D7" s="100">
        <f>_xlfn.XLOOKUP(B7,高套!A:A,高套!B:B,0)</f>
        <v>3.5</v>
      </c>
      <c r="E7" s="101">
        <f t="shared" si="0"/>
        <v>0.397727272727273</v>
      </c>
      <c r="F7" s="20">
        <f>_xlfn.XLOOKUP(B7,红黄牌高套!A:A,红黄牌高套!B:B,0)</f>
        <v>3.5</v>
      </c>
      <c r="G7" s="105" t="str">
        <f t="shared" si="1"/>
        <v>否</v>
      </c>
      <c r="H7" s="21">
        <f t="shared" si="2"/>
        <v>1</v>
      </c>
      <c r="I7" s="22">
        <f ca="1">VLOOKUP(B:B,完美一单!A:C,3,0)</f>
        <v>630</v>
      </c>
      <c r="J7" s="20">
        <v>2500</v>
      </c>
      <c r="K7" s="21">
        <f ca="1" t="shared" si="3"/>
        <v>0.289333333333333</v>
      </c>
      <c r="L7" s="22">
        <f ca="1" t="shared" si="4"/>
        <v>10</v>
      </c>
      <c r="M7" s="22">
        <f ca="1">VLOOKUP(B:B,完美一单!A:D,4,0)</f>
        <v>817</v>
      </c>
      <c r="N7" s="20" t="str">
        <f ca="1" t="shared" si="5"/>
        <v/>
      </c>
      <c r="O7" s="100">
        <v>25</v>
      </c>
      <c r="P7" s="103">
        <f>_xlfn.XLOOKUP(B7,全光组网!A:A,全光组网!B:B,0)</f>
        <v>0</v>
      </c>
      <c r="Q7" s="104">
        <f t="shared" si="6"/>
        <v>0</v>
      </c>
      <c r="U7" s="25" t="s">
        <v>24</v>
      </c>
      <c r="V7">
        <f ca="1" t="shared" si="7"/>
        <v>798.66</v>
      </c>
      <c r="W7">
        <f ca="1" t="shared" si="8"/>
        <v>9</v>
      </c>
    </row>
    <row r="8" ht="16.5" customHeight="1" spans="1:23">
      <c r="A8" s="98"/>
      <c r="B8" s="20" t="s">
        <v>27</v>
      </c>
      <c r="C8" s="20">
        <v>8.8</v>
      </c>
      <c r="D8" s="100">
        <f>_xlfn.XLOOKUP(B8,高套!A:A,高套!B:B,0)</f>
        <v>13.5</v>
      </c>
      <c r="E8" s="101">
        <f t="shared" si="0"/>
        <v>1.53409090909091</v>
      </c>
      <c r="F8" s="20">
        <f>_xlfn.XLOOKUP(B8,红黄牌高套!A:A,红黄牌高套!B:B,0)</f>
        <v>15.25</v>
      </c>
      <c r="G8" s="105" t="str">
        <f t="shared" si="1"/>
        <v>否</v>
      </c>
      <c r="H8" s="21">
        <f t="shared" si="2"/>
        <v>0.885245901639344</v>
      </c>
      <c r="I8" s="22">
        <f ca="1">VLOOKUP(B:B,完美一单!A:C,3,0)</f>
        <v>1340.59</v>
      </c>
      <c r="J8" s="20">
        <v>2500</v>
      </c>
      <c r="K8" s="21">
        <f ca="1" t="shared" si="3"/>
        <v>0.61567837037037</v>
      </c>
      <c r="L8" s="22">
        <f ca="1" t="shared" si="4"/>
        <v>5</v>
      </c>
      <c r="M8" s="22">
        <f ca="1">VLOOKUP(B:B,完美一单!A:D,4,0)</f>
        <v>448</v>
      </c>
      <c r="N8" s="20" t="str">
        <f ca="1" t="shared" si="5"/>
        <v/>
      </c>
      <c r="O8" s="100">
        <v>25</v>
      </c>
      <c r="P8" s="103">
        <f>_xlfn.XLOOKUP(B8,全光组网!A:A,全光组网!B:B,0)</f>
        <v>6</v>
      </c>
      <c r="Q8" s="104">
        <f t="shared" si="6"/>
        <v>0.24</v>
      </c>
      <c r="U8" s="25" t="s">
        <v>25</v>
      </c>
      <c r="V8">
        <f ca="1" t="shared" si="7"/>
        <v>332.4</v>
      </c>
      <c r="W8">
        <f ca="1" t="shared" si="8"/>
        <v>13</v>
      </c>
    </row>
    <row r="9" ht="16.5" customHeight="1" spans="1:23">
      <c r="A9" s="98"/>
      <c r="B9" s="20" t="s">
        <v>28</v>
      </c>
      <c r="C9" s="20">
        <v>8.8</v>
      </c>
      <c r="D9" s="100">
        <f>_xlfn.XLOOKUP(B9,高套!A:A,高套!B:B,0)</f>
        <v>2.5</v>
      </c>
      <c r="E9" s="101">
        <f t="shared" si="0"/>
        <v>0.284090909090909</v>
      </c>
      <c r="F9" s="20">
        <f>_xlfn.XLOOKUP(B9,红黄牌高套!A:A,红黄牌高套!B:B,0)</f>
        <v>6.5</v>
      </c>
      <c r="G9" s="105" t="str">
        <f t="shared" si="1"/>
        <v>否</v>
      </c>
      <c r="H9" s="21">
        <f t="shared" si="2"/>
        <v>0.384615384615385</v>
      </c>
      <c r="I9" s="22">
        <f ca="1">VLOOKUP(B:B,完美一单!A:C,3,0)</f>
        <v>1518</v>
      </c>
      <c r="J9" s="20">
        <v>2500</v>
      </c>
      <c r="K9" s="21">
        <f ca="1" t="shared" si="3"/>
        <v>0.697155555555556</v>
      </c>
      <c r="L9" s="22">
        <f ca="1" t="shared" si="4"/>
        <v>2</v>
      </c>
      <c r="M9" s="22">
        <f ca="1">VLOOKUP(B:B,完美一单!A:D,4,0)</f>
        <v>1143</v>
      </c>
      <c r="N9" s="20" t="str">
        <f ca="1" t="shared" si="5"/>
        <v/>
      </c>
      <c r="O9" s="100">
        <v>25</v>
      </c>
      <c r="P9" s="103">
        <f>_xlfn.XLOOKUP(B9,全光组网!A:A,全光组网!B:B,0)</f>
        <v>3</v>
      </c>
      <c r="Q9" s="104">
        <f t="shared" si="6"/>
        <v>0.12</v>
      </c>
      <c r="U9" s="25" t="s">
        <v>26</v>
      </c>
      <c r="V9">
        <f ca="1" t="shared" si="7"/>
        <v>630</v>
      </c>
      <c r="W9">
        <f ca="1" t="shared" si="8"/>
        <v>10</v>
      </c>
    </row>
    <row r="10" ht="16.5" customHeight="1" spans="1:23">
      <c r="A10" s="98"/>
      <c r="B10" s="20" t="s">
        <v>29</v>
      </c>
      <c r="C10" s="20">
        <v>8.8</v>
      </c>
      <c r="D10" s="100">
        <f>_xlfn.XLOOKUP(B10,高套!A:A,高套!B:B,0)</f>
        <v>4.03</v>
      </c>
      <c r="E10" s="101">
        <f t="shared" si="0"/>
        <v>0.457954545454545</v>
      </c>
      <c r="F10" s="20">
        <f>_xlfn.XLOOKUP(B10,红黄牌高套!A:A,红黄牌高套!B:B,0)</f>
        <v>4.03</v>
      </c>
      <c r="G10" s="105" t="str">
        <f t="shared" si="1"/>
        <v>否</v>
      </c>
      <c r="H10" s="21">
        <f t="shared" si="2"/>
        <v>1</v>
      </c>
      <c r="I10" s="22">
        <f ca="1">VLOOKUP(B:B,完美一单!A:C,3,0)</f>
        <v>1382.97</v>
      </c>
      <c r="J10" s="20">
        <v>2500</v>
      </c>
      <c r="K10" s="21">
        <f ca="1" t="shared" si="3"/>
        <v>0.635141777777778</v>
      </c>
      <c r="L10" s="22">
        <f ca="1" t="shared" si="4"/>
        <v>4</v>
      </c>
      <c r="M10" s="22">
        <f ca="1">VLOOKUP(B:B,完美一单!A:D,4,0)</f>
        <v>1390</v>
      </c>
      <c r="N10" s="20" t="str">
        <f ca="1" t="shared" si="5"/>
        <v/>
      </c>
      <c r="O10" s="100">
        <v>25</v>
      </c>
      <c r="P10" s="103">
        <f>_xlfn.XLOOKUP(B10,全光组网!A:A,全光组网!B:B,0)</f>
        <v>6</v>
      </c>
      <c r="Q10" s="104">
        <f t="shared" si="6"/>
        <v>0.24</v>
      </c>
      <c r="U10" s="25" t="s">
        <v>27</v>
      </c>
      <c r="V10">
        <f ca="1" t="shared" si="7"/>
        <v>1340.59</v>
      </c>
      <c r="W10">
        <f ca="1" t="shared" si="8"/>
        <v>5</v>
      </c>
    </row>
    <row r="11" ht="16.5" customHeight="1" spans="1:23">
      <c r="A11" s="99"/>
      <c r="B11" s="106" t="s">
        <v>30</v>
      </c>
      <c r="C11" s="106">
        <f>SUM(C4:C10)</f>
        <v>61.6</v>
      </c>
      <c r="D11" s="106">
        <f>SUM(D4:D10)</f>
        <v>27.53</v>
      </c>
      <c r="E11" s="107">
        <f t="shared" si="0"/>
        <v>0.446915584415584</v>
      </c>
      <c r="F11" s="106">
        <f>SUM(F4:F10)</f>
        <v>36.28</v>
      </c>
      <c r="G11" s="107"/>
      <c r="H11" s="107">
        <f t="shared" si="2"/>
        <v>0.758820286659316</v>
      </c>
      <c r="I11" s="108">
        <f ca="1">SUM(I4:I10)</f>
        <v>6203.62</v>
      </c>
      <c r="J11" s="106">
        <f>SUM(J4:J10)</f>
        <v>17500</v>
      </c>
      <c r="K11" s="107">
        <f ca="1" t="shared" si="3"/>
        <v>0.407009989417989</v>
      </c>
      <c r="L11" s="106"/>
      <c r="M11" s="108">
        <f ca="1">SUM(M4:M10)</f>
        <v>5166.66</v>
      </c>
      <c r="N11" s="106"/>
      <c r="O11" s="106">
        <f>SUM(O4:O10)</f>
        <v>175</v>
      </c>
      <c r="P11" s="106">
        <f>SUM(P4:P10)</f>
        <v>15</v>
      </c>
      <c r="Q11" s="109">
        <f t="shared" si="6"/>
        <v>0.0857142857142857</v>
      </c>
      <c r="U11" s="25" t="s">
        <v>28</v>
      </c>
      <c r="V11">
        <f ca="1" t="shared" si="7"/>
        <v>1518</v>
      </c>
      <c r="W11">
        <f ca="1" t="shared" si="8"/>
        <v>2</v>
      </c>
    </row>
    <row r="12" ht="14.25" customHeight="1" spans="1:23">
      <c r="A12" s="17" t="s">
        <v>31</v>
      </c>
      <c r="B12" s="20" t="s">
        <v>32</v>
      </c>
      <c r="C12" s="20">
        <v>8.8</v>
      </c>
      <c r="D12" s="100">
        <f>_xlfn.XLOOKUP(B12,高套!A:A,高套!B:B,0)</f>
        <v>0</v>
      </c>
      <c r="E12" s="101">
        <f t="shared" si="0"/>
        <v>0</v>
      </c>
      <c r="F12" s="20">
        <f>_xlfn.XLOOKUP(B12,红黄牌高套!A:A,红黄牌高套!B:B,0)</f>
        <v>1.5</v>
      </c>
      <c r="G12" s="105" t="str">
        <f t="shared" ref="G12:G18" si="9">IF(F12&gt;=3,"否","是")</f>
        <v>是</v>
      </c>
      <c r="H12" s="21">
        <f t="shared" si="2"/>
        <v>0</v>
      </c>
      <c r="I12" s="22">
        <f ca="1">VLOOKUP(B:B,完美一单!A:C,3,0)</f>
        <v>360</v>
      </c>
      <c r="J12" s="20">
        <v>2500</v>
      </c>
      <c r="K12" s="21">
        <f ca="1" t="shared" si="3"/>
        <v>0.165333333333333</v>
      </c>
      <c r="L12" s="22">
        <f ca="1" t="shared" ref="L12:L18" si="10">VLOOKUP(B:B,U:W,3,0)</f>
        <v>12</v>
      </c>
      <c r="M12" s="22">
        <f ca="1">VLOOKUP(B:B,完美一单!A:D,4,0)</f>
        <v>350</v>
      </c>
      <c r="N12" s="20" t="str">
        <f ca="1" t="shared" ref="N12:N18" si="11">IF(AND(M12&lt;550,I12&lt;550),"否","")</f>
        <v>否</v>
      </c>
      <c r="O12" s="100">
        <v>25</v>
      </c>
      <c r="P12" s="103">
        <f>_xlfn.XLOOKUP(B12,全光组网!A:A,全光组网!B:B,0)</f>
        <v>0</v>
      </c>
      <c r="Q12" s="104">
        <f t="shared" si="6"/>
        <v>0</v>
      </c>
      <c r="U12" s="25" t="s">
        <v>29</v>
      </c>
      <c r="V12">
        <f ca="1" t="shared" si="7"/>
        <v>1382.97</v>
      </c>
      <c r="W12">
        <f ca="1" t="shared" si="8"/>
        <v>4</v>
      </c>
    </row>
    <row r="13" ht="16.5" customHeight="1" spans="1:23">
      <c r="A13" s="110"/>
      <c r="B13" s="20" t="s">
        <v>33</v>
      </c>
      <c r="C13" s="20">
        <v>8.8</v>
      </c>
      <c r="D13" s="100">
        <f>_xlfn.XLOOKUP(B13,高套!A:A,高套!B:B,0)</f>
        <v>9.75</v>
      </c>
      <c r="E13" s="101">
        <f t="shared" si="0"/>
        <v>1.10795454545455</v>
      </c>
      <c r="F13" s="20">
        <f>_xlfn.XLOOKUP(B13,红黄牌高套!A:A,红黄牌高套!B:B,0)</f>
        <v>9</v>
      </c>
      <c r="G13" s="105" t="str">
        <f t="shared" si="9"/>
        <v>否</v>
      </c>
      <c r="H13" s="21">
        <f t="shared" si="2"/>
        <v>1.08333333333333</v>
      </c>
      <c r="I13" s="22">
        <f ca="1">VLOOKUP(B:B,完美一单!A:C,3,0)</f>
        <v>1220.05</v>
      </c>
      <c r="J13" s="20">
        <v>2500</v>
      </c>
      <c r="K13" s="21">
        <f ca="1" t="shared" si="3"/>
        <v>0.560319259259259</v>
      </c>
      <c r="L13" s="22">
        <f ca="1" t="shared" si="10"/>
        <v>6</v>
      </c>
      <c r="M13" s="22">
        <f ca="1">VLOOKUP(B:B,完美一单!A:D,4,0)</f>
        <v>892</v>
      </c>
      <c r="N13" s="20" t="str">
        <f ca="1" t="shared" si="11"/>
        <v/>
      </c>
      <c r="O13" s="100">
        <v>25</v>
      </c>
      <c r="P13" s="103">
        <f>_xlfn.XLOOKUP(B13,全光组网!A:A,全光组网!B:B,0)</f>
        <v>11</v>
      </c>
      <c r="Q13" s="104">
        <f t="shared" si="6"/>
        <v>0.44</v>
      </c>
      <c r="U13" s="25" t="s">
        <v>32</v>
      </c>
      <c r="V13">
        <f ca="1" t="shared" si="7"/>
        <v>360</v>
      </c>
      <c r="W13">
        <f ca="1" t="shared" si="8"/>
        <v>12</v>
      </c>
    </row>
    <row r="14" ht="16.5" customHeight="1" spans="1:23">
      <c r="A14" s="110"/>
      <c r="B14" s="20" t="s">
        <v>34</v>
      </c>
      <c r="C14" s="20">
        <v>8.8</v>
      </c>
      <c r="D14" s="100">
        <f>_xlfn.XLOOKUP(B14,高套!A:A,高套!B:B,0)</f>
        <v>3</v>
      </c>
      <c r="E14" s="101">
        <f t="shared" si="0"/>
        <v>0.340909090909091</v>
      </c>
      <c r="F14" s="20">
        <f>_xlfn.XLOOKUP(B14,红黄牌高套!A:A,红黄牌高套!B:B,0)</f>
        <v>5</v>
      </c>
      <c r="G14" s="105" t="str">
        <f t="shared" si="9"/>
        <v>否</v>
      </c>
      <c r="H14" s="21">
        <f t="shared" si="2"/>
        <v>0.6</v>
      </c>
      <c r="I14" s="22">
        <f ca="1">VLOOKUP(B:B,完美一单!A:C,3,0)</f>
        <v>1451</v>
      </c>
      <c r="J14" s="20">
        <v>2500</v>
      </c>
      <c r="K14" s="21">
        <f ca="1" t="shared" si="3"/>
        <v>0.666385185185185</v>
      </c>
      <c r="L14" s="22">
        <f ca="1" t="shared" si="10"/>
        <v>3</v>
      </c>
      <c r="M14" s="22">
        <f ca="1">VLOOKUP(B:B,完美一单!A:D,4,0)</f>
        <v>688</v>
      </c>
      <c r="N14" s="20" t="str">
        <f ca="1" t="shared" si="11"/>
        <v/>
      </c>
      <c r="O14" s="100">
        <v>25</v>
      </c>
      <c r="P14" s="103">
        <f>_xlfn.XLOOKUP(B14,全光组网!A:A,全光组网!B:B,0)</f>
        <v>0</v>
      </c>
      <c r="Q14" s="104">
        <f t="shared" si="6"/>
        <v>0</v>
      </c>
      <c r="U14" s="25" t="s">
        <v>33</v>
      </c>
      <c r="V14">
        <f ca="1" t="shared" si="7"/>
        <v>1220.05</v>
      </c>
      <c r="W14">
        <f ca="1" t="shared" si="8"/>
        <v>6</v>
      </c>
    </row>
    <row r="15" ht="16.5" customHeight="1" spans="1:23">
      <c r="A15" s="110"/>
      <c r="B15" s="20" t="s">
        <v>35</v>
      </c>
      <c r="C15" s="20">
        <v>8.8</v>
      </c>
      <c r="D15" s="100">
        <f>_xlfn.XLOOKUP(B15,高套!A:A,高套!B:B,0)</f>
        <v>5</v>
      </c>
      <c r="E15" s="101">
        <f t="shared" si="0"/>
        <v>0.568181818181818</v>
      </c>
      <c r="F15" s="20">
        <f>_xlfn.XLOOKUP(B15,红黄牌高套!A:A,红黄牌高套!B:B,0)</f>
        <v>2.75</v>
      </c>
      <c r="G15" s="105" t="str">
        <f t="shared" si="9"/>
        <v>是</v>
      </c>
      <c r="H15" s="21">
        <f t="shared" si="2"/>
        <v>1.81818181818182</v>
      </c>
      <c r="I15" s="22">
        <f ca="1">VLOOKUP(B:B,完美一单!A:C,3,0)</f>
        <v>1134</v>
      </c>
      <c r="J15" s="20">
        <v>2500</v>
      </c>
      <c r="K15" s="21">
        <f ca="1" t="shared" si="3"/>
        <v>0.5208</v>
      </c>
      <c r="L15" s="22">
        <f ca="1" t="shared" si="10"/>
        <v>7</v>
      </c>
      <c r="M15" s="22">
        <f ca="1">VLOOKUP(B:B,完美一单!A:D,4,0)</f>
        <v>970</v>
      </c>
      <c r="N15" s="20" t="str">
        <f ca="1" t="shared" si="11"/>
        <v/>
      </c>
      <c r="O15" s="100">
        <v>25</v>
      </c>
      <c r="P15" s="103">
        <f>_xlfn.XLOOKUP(B15,全光组网!A:A,全光组网!B:B,0)</f>
        <v>0</v>
      </c>
      <c r="Q15" s="104">
        <f t="shared" si="6"/>
        <v>0</v>
      </c>
      <c r="U15" s="25" t="s">
        <v>34</v>
      </c>
      <c r="V15">
        <f ca="1" t="shared" si="7"/>
        <v>1451</v>
      </c>
      <c r="W15">
        <f ca="1" t="shared" si="8"/>
        <v>3</v>
      </c>
    </row>
    <row r="16" ht="16.5" customHeight="1" spans="1:23">
      <c r="A16" s="110"/>
      <c r="B16" s="20" t="s">
        <v>36</v>
      </c>
      <c r="C16" s="20">
        <v>8.8</v>
      </c>
      <c r="D16" s="100">
        <f>_xlfn.XLOOKUP(B16,高套!A:A,高套!B:B,0)</f>
        <v>11</v>
      </c>
      <c r="E16" s="101">
        <f t="shared" si="0"/>
        <v>1.25</v>
      </c>
      <c r="F16" s="20">
        <f>_xlfn.XLOOKUP(B16,红黄牌高套!A:A,红黄牌高套!B:B,0)</f>
        <v>11</v>
      </c>
      <c r="G16" s="105" t="str">
        <f t="shared" si="9"/>
        <v>否</v>
      </c>
      <c r="H16" s="21">
        <f t="shared" si="2"/>
        <v>1</v>
      </c>
      <c r="I16" s="22">
        <f ca="1">VLOOKUP(B:B,完美一单!A:C,3,0)</f>
        <v>845.32</v>
      </c>
      <c r="J16" s="20">
        <v>2500</v>
      </c>
      <c r="K16" s="21">
        <f ca="1" t="shared" si="3"/>
        <v>0.388221037037037</v>
      </c>
      <c r="L16" s="22">
        <f ca="1" t="shared" si="10"/>
        <v>8</v>
      </c>
      <c r="M16" s="22">
        <f ca="1">VLOOKUP(B:B,完美一单!A:D,4,0)</f>
        <v>848</v>
      </c>
      <c r="N16" s="20" t="str">
        <f ca="1" t="shared" si="11"/>
        <v/>
      </c>
      <c r="O16" s="100">
        <v>25</v>
      </c>
      <c r="P16" s="103">
        <f>_xlfn.XLOOKUP(B16,全光组网!A:A,全光组网!B:B,0)</f>
        <v>14</v>
      </c>
      <c r="Q16" s="104">
        <f t="shared" si="6"/>
        <v>0.56</v>
      </c>
      <c r="U16" s="25" t="s">
        <v>35</v>
      </c>
      <c r="V16">
        <f ca="1" t="shared" si="7"/>
        <v>1134</v>
      </c>
      <c r="W16">
        <f ca="1" t="shared" si="8"/>
        <v>7</v>
      </c>
    </row>
    <row r="17" ht="16.5" customHeight="1" spans="1:23">
      <c r="A17" s="110"/>
      <c r="B17" s="20" t="s">
        <v>37</v>
      </c>
      <c r="C17" s="20">
        <v>8.8</v>
      </c>
      <c r="D17" s="100">
        <f>_xlfn.XLOOKUP(B17,高套!A:A,高套!B:B,0)</f>
        <v>3.5</v>
      </c>
      <c r="E17" s="101">
        <f t="shared" si="0"/>
        <v>0.397727272727273</v>
      </c>
      <c r="F17" s="20">
        <f>_xlfn.XLOOKUP(B17,红黄牌高套!A:A,红黄牌高套!B:B,0)</f>
        <v>3.5</v>
      </c>
      <c r="G17" s="105" t="str">
        <f t="shared" si="9"/>
        <v>否</v>
      </c>
      <c r="H17" s="21">
        <f t="shared" si="2"/>
        <v>1</v>
      </c>
      <c r="I17" s="22">
        <f ca="1">VLOOKUP(B:B,完美一单!A:C,3,0)</f>
        <v>485</v>
      </c>
      <c r="J17" s="20">
        <v>2500</v>
      </c>
      <c r="K17" s="21">
        <f ca="1" t="shared" si="3"/>
        <v>0.222740740740741</v>
      </c>
      <c r="L17" s="22">
        <f ca="1" t="shared" si="10"/>
        <v>11</v>
      </c>
      <c r="M17" s="22">
        <f ca="1">VLOOKUP(B:B,完美一单!A:D,4,0)</f>
        <v>325</v>
      </c>
      <c r="N17" s="20" t="str">
        <f ca="1" t="shared" si="11"/>
        <v>否</v>
      </c>
      <c r="O17" s="100">
        <v>25</v>
      </c>
      <c r="P17" s="103">
        <f>_xlfn.XLOOKUP(B17,全光组网!A:A,全光组网!B:B,0)</f>
        <v>5</v>
      </c>
      <c r="Q17" s="104">
        <f t="shared" si="6"/>
        <v>0.2</v>
      </c>
      <c r="U17" s="25" t="s">
        <v>36</v>
      </c>
      <c r="V17">
        <f ca="1" t="shared" si="7"/>
        <v>845.32</v>
      </c>
      <c r="W17">
        <f ca="1" t="shared" si="8"/>
        <v>8</v>
      </c>
    </row>
    <row r="18" ht="16.5" customHeight="1" spans="1:23">
      <c r="A18" s="110"/>
      <c r="B18" s="20" t="s">
        <v>38</v>
      </c>
      <c r="C18" s="20">
        <v>8.8</v>
      </c>
      <c r="D18" s="100">
        <f>_xlfn.XLOOKUP(B18,高套!A:A,高套!B:B,0)</f>
        <v>19.73</v>
      </c>
      <c r="E18" s="101">
        <f t="shared" si="0"/>
        <v>2.24204545454545</v>
      </c>
      <c r="F18" s="20">
        <f>_xlfn.XLOOKUP(B18,红黄牌高套!A:A,红黄牌高套!B:B,0)</f>
        <v>19.73</v>
      </c>
      <c r="G18" s="105" t="str">
        <f t="shared" si="9"/>
        <v>否</v>
      </c>
      <c r="H18" s="21">
        <f t="shared" si="2"/>
        <v>1</v>
      </c>
      <c r="I18" s="22">
        <f ca="1">VLOOKUP(B:B,完美一单!A:C,3,0)</f>
        <v>3867.94</v>
      </c>
      <c r="J18" s="20">
        <v>2500</v>
      </c>
      <c r="K18" s="21">
        <f ca="1" t="shared" si="3"/>
        <v>1.77638725925926</v>
      </c>
      <c r="L18" s="22">
        <f ca="1" t="shared" si="10"/>
        <v>1</v>
      </c>
      <c r="M18" s="22">
        <f ca="1">VLOOKUP(B:B,完美一单!A:D,4,0)</f>
        <v>3147.6</v>
      </c>
      <c r="N18" s="20" t="str">
        <f ca="1" t="shared" si="11"/>
        <v/>
      </c>
      <c r="O18" s="100">
        <v>25</v>
      </c>
      <c r="P18" s="103">
        <f>_xlfn.XLOOKUP(B18,全光组网!A:A,全光组网!B:B,0)</f>
        <v>25</v>
      </c>
      <c r="Q18" s="104">
        <f t="shared" si="6"/>
        <v>1</v>
      </c>
      <c r="U18" s="111" t="s">
        <v>38</v>
      </c>
      <c r="V18">
        <f ca="1" t="shared" si="7"/>
        <v>3867.94</v>
      </c>
      <c r="W18">
        <f ca="1" t="shared" si="8"/>
        <v>1</v>
      </c>
    </row>
    <row r="19" ht="16.5" customHeight="1" spans="1:23">
      <c r="A19" s="112"/>
      <c r="B19" s="26" t="s">
        <v>30</v>
      </c>
      <c r="C19" s="26">
        <f>SUM(C12:C18)</f>
        <v>61.6</v>
      </c>
      <c r="D19" s="26">
        <f>SUM(D12:D18)</f>
        <v>51.98</v>
      </c>
      <c r="E19" s="27">
        <f t="shared" si="0"/>
        <v>0.843831168831169</v>
      </c>
      <c r="F19" s="26">
        <f>SUM(F12:F18)</f>
        <v>52.48</v>
      </c>
      <c r="G19" s="27"/>
      <c r="H19" s="27">
        <f t="shared" si="2"/>
        <v>0.99047256097561</v>
      </c>
      <c r="I19" s="113">
        <f ca="1">SUM(I12:I18)</f>
        <v>9363.31</v>
      </c>
      <c r="J19" s="26">
        <f>SUM(J12:J18)</f>
        <v>17500</v>
      </c>
      <c r="K19" s="27">
        <f ca="1" t="shared" si="3"/>
        <v>0.614312402116402</v>
      </c>
      <c r="L19" s="26"/>
      <c r="M19" s="113">
        <f ca="1">SUM(M12:M18)</f>
        <v>7220.6</v>
      </c>
      <c r="N19" s="26"/>
      <c r="O19" s="26">
        <f>SUM(O12:O18)</f>
        <v>175</v>
      </c>
      <c r="P19" s="26">
        <f>SUM(P12:P18)</f>
        <v>55</v>
      </c>
      <c r="Q19" s="109">
        <f t="shared" si="6"/>
        <v>0.314285714285714</v>
      </c>
      <c r="U19" s="114" t="s">
        <v>37</v>
      </c>
      <c r="V19">
        <f ca="1" t="shared" si="7"/>
        <v>485</v>
      </c>
      <c r="W19">
        <f ca="1" t="shared" si="8"/>
        <v>11</v>
      </c>
    </row>
    <row r="20" ht="15" customHeight="1" spans="1:23">
      <c r="A20" s="115" t="s">
        <v>39</v>
      </c>
      <c r="B20" s="116"/>
      <c r="C20" s="117">
        <v>132</v>
      </c>
      <c r="D20" s="118">
        <f>D11+D19</f>
        <v>79.51</v>
      </c>
      <c r="E20" s="119">
        <f t="shared" si="0"/>
        <v>0.602348484848485</v>
      </c>
      <c r="F20" s="120">
        <f>F11+F19</f>
        <v>88.76</v>
      </c>
      <c r="G20" s="121"/>
      <c r="H20" s="122">
        <f t="shared" si="2"/>
        <v>0.895786390265886</v>
      </c>
      <c r="I20" s="123">
        <f ca="1">I11+I19</f>
        <v>15566.93</v>
      </c>
      <c r="J20" s="117">
        <f>J11+J19</f>
        <v>35000</v>
      </c>
      <c r="K20" s="124">
        <f ca="1" t="shared" si="3"/>
        <v>0.510661195767196</v>
      </c>
      <c r="L20" s="125"/>
      <c r="M20" s="126">
        <f ca="1">M11+M19</f>
        <v>12387.26</v>
      </c>
      <c r="N20" s="127" t="s">
        <v>40</v>
      </c>
      <c r="O20" s="128"/>
      <c r="P20" s="129">
        <f>P11+P19</f>
        <v>70</v>
      </c>
      <c r="Q20" s="104">
        <f>P20/O21</f>
        <v>0.225806451612903</v>
      </c>
      <c r="U20" s="130"/>
    </row>
    <row r="21" ht="15" customHeight="1" spans="1:23">
      <c r="A21" s="99"/>
      <c r="B21" s="131"/>
      <c r="C21" s="131"/>
      <c r="D21" s="131"/>
      <c r="E21" s="131"/>
      <c r="F21" s="131"/>
      <c r="G21" s="132"/>
      <c r="H21" s="133"/>
      <c r="I21" s="131"/>
      <c r="J21" s="131"/>
      <c r="K21" s="112"/>
      <c r="L21" s="134"/>
      <c r="M21" s="133"/>
      <c r="N21" s="135" t="s">
        <v>41</v>
      </c>
      <c r="O21" s="136">
        <v>310</v>
      </c>
      <c r="P21" s="137">
        <f>_xlfn.XLOOKUP(N21,全光组网!A:A,全光组网!B:B,0)</f>
        <v>214</v>
      </c>
      <c r="Q21" s="104">
        <f>P21/O21</f>
        <v>0.690322580645161</v>
      </c>
      <c r="U21" s="130"/>
    </row>
    <row r="22" ht="13.5" customHeight="1" spans="1:23">
      <c r="A22" s="36"/>
      <c r="B22" s="16"/>
      <c r="C22" s="16"/>
      <c r="D22" s="16"/>
      <c r="E22" s="16"/>
      <c r="F22" s="16"/>
      <c r="G22" s="16"/>
      <c r="H22" s="16"/>
      <c r="I22" s="37"/>
      <c r="J22" s="38"/>
      <c r="K22" s="38"/>
      <c r="L22" s="38"/>
      <c r="M22" s="38"/>
      <c r="N22" s="38"/>
      <c r="O22" s="38"/>
    </row>
    <row r="23" ht="16.5" customHeight="1" spans="1:23">
      <c r="A23" s="36" t="str">
        <f ca="1">MONTH(TODAY()-1)&amp;"月"</f>
        <v>4月</v>
      </c>
      <c r="B23" s="36">
        <f ca="1">DAY(TODAY()-1)</f>
        <v>27</v>
      </c>
      <c r="C23" s="36"/>
      <c r="D23" s="40"/>
      <c r="E23" s="41"/>
      <c r="F23" s="37"/>
      <c r="G23" s="37"/>
      <c r="H23" s="37"/>
      <c r="I23" s="37"/>
      <c r="J23" s="38"/>
      <c r="K23" s="38"/>
      <c r="L23" s="38"/>
      <c r="M23" s="38"/>
      <c r="N23" s="38"/>
      <c r="O23" s="38"/>
      <c r="P23" t="s">
        <v>42</v>
      </c>
    </row>
    <row r="24" ht="14.25" customHeight="1" spans="1:23">
      <c r="D24"/>
      <c r="E24"/>
      <c r="F24"/>
      <c r="H24"/>
      <c r="I24" s="37"/>
      <c r="J24" s="38"/>
      <c r="K24" s="38"/>
      <c r="L24" s="38"/>
      <c r="M24" s="38"/>
      <c r="N24" s="38"/>
      <c r="O24" s="38"/>
    </row>
    <row r="25" ht="33" customHeight="1" spans="1:23">
      <c r="D25"/>
      <c r="E25"/>
      <c r="F25"/>
      <c r="H25"/>
      <c r="I25" s="49"/>
      <c r="J25" s="138" t="str">
        <f ca="1">"📅 "&amp;MONTH(TODAY())&amp;"月份商机统计表（预计转化时间为"&amp;MONTH(TODAY())&amp;"月）"</f>
        <v>📅 4月份商机统计表（预计转化时间为4月）</v>
      </c>
      <c r="K25" s="139"/>
      <c r="L25" s="139"/>
      <c r="M25" s="140"/>
      <c r="O25" s="141" t="s">
        <v>43</v>
      </c>
    </row>
    <row r="26" ht="16.5" customHeight="1" spans="1:23">
      <c r="D26"/>
      <c r="E26"/>
      <c r="F26"/>
      <c r="H26"/>
      <c r="I26" s="56"/>
      <c r="J26" s="142" t="str">
        <f ca="1">"（数据截止"&amp;TEXT(TODAY()-1,"m月d日")&amp;",剔除目前进度为""失败""、""已受理""的商机；剔除商机小类为""产数项目""的项）"</f>
        <v>（数据截止4月27日,剔除目前进度为"失败"、"已受理"的商机；剔除商机小类为"产数项目"的项）</v>
      </c>
      <c r="K26" s="143"/>
      <c r="L26" s="143"/>
      <c r="M26" s="144"/>
      <c r="O26" s="145" t="str">
        <f ca="1">"（数据截止"&amp;TEXT(TODAY()-1,"m月d日")&amp;",剔除目前进度为""失败""、""已受理""的商机；剔除商机小类为""产数项目""的项）"</f>
        <v>（数据截止4月27日,剔除目前进度为"失败"、"已受理"的商机；剔除商机小类为"产数项目"的项）</v>
      </c>
    </row>
    <row r="27" ht="16.5" customHeight="1" spans="1:23">
      <c r="B27" s="146" t="str">
        <f ca="1">"🏆 高装高套目标完成情况（截至"&amp;MONTH(TODAY()-1)&amp;"月"&amp;DAY(TODAY()-1)&amp;"日）"</f>
        <v>🏆 高装高套目标完成情况（截至4月27日）</v>
      </c>
      <c r="H27"/>
      <c r="I27" s="56"/>
      <c r="J27" s="9" t="s">
        <v>5</v>
      </c>
      <c r="K27" s="10" t="s">
        <v>44</v>
      </c>
      <c r="L27" s="10" t="s">
        <v>45</v>
      </c>
      <c r="M27" s="11" t="s">
        <v>46</v>
      </c>
      <c r="O27" s="147" t="s">
        <v>5</v>
      </c>
      <c r="P27" s="10" t="s">
        <v>44</v>
      </c>
      <c r="Q27" s="148" t="s">
        <v>45</v>
      </c>
      <c r="R27" s="149" t="s">
        <v>46</v>
      </c>
    </row>
    <row r="28" ht="16.5" customHeight="1" spans="1:23">
      <c r="B28" s="150" t="s">
        <v>47</v>
      </c>
      <c r="C28" s="150" t="s">
        <v>48</v>
      </c>
      <c r="D28" s="150" t="s">
        <v>49</v>
      </c>
      <c r="E28" s="150" t="s">
        <v>50</v>
      </c>
      <c r="F28" s="150" t="s">
        <v>20</v>
      </c>
      <c r="H28"/>
      <c r="I28" s="56"/>
      <c r="J28" s="151" t="str">
        <f>商机统计!A2</f>
        <v>谢卓和</v>
      </c>
      <c r="K28" s="152">
        <f>商机统计!B2</f>
        <v>10</v>
      </c>
      <c r="L28" s="152">
        <f>商机统计!C2</f>
        <v>35.5</v>
      </c>
      <c r="M28" s="153">
        <f>商机统计!D2</f>
        <v>5607</v>
      </c>
      <c r="O28" s="151" t="str">
        <f>商机统计!F2</f>
        <v>谢卓和</v>
      </c>
      <c r="P28" s="152">
        <f>商机统计!G2</f>
        <v>18</v>
      </c>
      <c r="Q28" s="152">
        <f>商机统计!H2</f>
        <v>57.5</v>
      </c>
      <c r="R28" s="153">
        <f>商机统计!I2</f>
        <v>8927</v>
      </c>
    </row>
    <row r="29" ht="16.5" customHeight="1" spans="1:23">
      <c r="B29" s="154" t="s">
        <v>51</v>
      </c>
      <c r="C29" s="155" t="str">
        <f>高装高套!A2</f>
        <v>陈梓铭</v>
      </c>
      <c r="D29" s="155">
        <f>高装高套!C2</f>
        <v>1</v>
      </c>
      <c r="E29" s="155">
        <f>高装高套!B2</f>
        <v>0</v>
      </c>
      <c r="F29" s="156">
        <f t="shared" ref="F29:F37" si="12">IFERROR(E29/D29,"-")</f>
        <v>0</v>
      </c>
      <c r="H29"/>
      <c r="I29" s="56"/>
      <c r="J29" s="157" t="str">
        <f>商机统计!A3</f>
        <v>黄观霞</v>
      </c>
      <c r="K29" s="158">
        <f>商机统计!B3</f>
        <v>3</v>
      </c>
      <c r="L29" s="158">
        <f>商机统计!C3</f>
        <v>21</v>
      </c>
      <c r="M29" s="159">
        <f>商机统计!D3</f>
        <v>4047</v>
      </c>
      <c r="O29" s="157" t="str">
        <f>商机统计!F3</f>
        <v>邱海燕</v>
      </c>
      <c r="P29" s="158">
        <f>商机统计!G3</f>
        <v>5</v>
      </c>
      <c r="Q29" s="158">
        <f>商机统计!H3</f>
        <v>49.2</v>
      </c>
      <c r="R29" s="159">
        <f>商机统计!I3</f>
        <v>6479</v>
      </c>
    </row>
    <row r="30" ht="16.5" customHeight="1" spans="1:23">
      <c r="B30" s="160"/>
      <c r="C30" s="161" t="str">
        <f>高装高套!A3</f>
        <v>程庆德</v>
      </c>
      <c r="D30" s="161">
        <f>高装高套!C3</f>
        <v>1</v>
      </c>
      <c r="E30" s="161">
        <f>高装高套!B3</f>
        <v>0</v>
      </c>
      <c r="F30" s="162">
        <f t="shared" si="12"/>
        <v>0</v>
      </c>
      <c r="H30"/>
      <c r="I30" s="56"/>
      <c r="J30" s="163" t="str">
        <f>商机统计!A4</f>
        <v>王锦添</v>
      </c>
      <c r="K30" s="164">
        <f>商机统计!B4</f>
        <v>6</v>
      </c>
      <c r="L30" s="164">
        <f>商机统计!C4</f>
        <v>15.33</v>
      </c>
      <c r="M30" s="165">
        <f>商机统计!D4</f>
        <v>3760</v>
      </c>
      <c r="O30" s="163" t="str">
        <f>商机统计!F4</f>
        <v>黄淡妮</v>
      </c>
      <c r="P30" s="164">
        <f>商机统计!G4</f>
        <v>9</v>
      </c>
      <c r="Q30" s="164">
        <f>商机统计!H4</f>
        <v>38.9</v>
      </c>
      <c r="R30" s="165">
        <f>商机统计!I4</f>
        <v>7693</v>
      </c>
    </row>
    <row r="31" ht="16.5" customHeight="1" spans="1:23">
      <c r="B31" s="160"/>
      <c r="C31" s="155" t="str">
        <f>高装高套!A4</f>
        <v>刘奇峻</v>
      </c>
      <c r="D31" s="155">
        <f>高装高套!C4</f>
        <v>1</v>
      </c>
      <c r="E31" s="155">
        <f>高装高套!B4</f>
        <v>0</v>
      </c>
      <c r="F31" s="156">
        <f t="shared" si="12"/>
        <v>0</v>
      </c>
      <c r="H31"/>
      <c r="I31" s="56"/>
      <c r="J31" s="166" t="str">
        <f>商机统计!A5</f>
        <v>黄淡妮</v>
      </c>
      <c r="K31" s="167">
        <f>商机统计!B5</f>
        <v>4</v>
      </c>
      <c r="L31" s="167">
        <f>商机统计!C5</f>
        <v>12</v>
      </c>
      <c r="M31" s="168">
        <f>商机统计!D5</f>
        <v>2515</v>
      </c>
      <c r="O31" s="166" t="str">
        <f>商机统计!F5</f>
        <v>潘观友</v>
      </c>
      <c r="P31" s="167">
        <f>商机统计!G5</f>
        <v>10</v>
      </c>
      <c r="Q31" s="167">
        <f>商机统计!H5</f>
        <v>35</v>
      </c>
      <c r="R31" s="168">
        <f>商机统计!I5</f>
        <v>7814</v>
      </c>
    </row>
    <row r="32" ht="16.5" customHeight="1" spans="1:23">
      <c r="B32" s="160"/>
      <c r="C32" s="161" t="str">
        <f>高装高套!A5</f>
        <v>龙家宝</v>
      </c>
      <c r="D32" s="161">
        <f>高装高套!C5</f>
        <v>1</v>
      </c>
      <c r="E32" s="161">
        <f>高装高套!B5</f>
        <v>0</v>
      </c>
      <c r="F32" s="162">
        <f t="shared" si="12"/>
        <v>0</v>
      </c>
      <c r="H32"/>
      <c r="I32" s="56"/>
      <c r="J32" s="169" t="str">
        <f>商机统计!A6</f>
        <v>潘观友</v>
      </c>
      <c r="K32" s="170">
        <f>商机统计!B6</f>
        <v>3</v>
      </c>
      <c r="L32" s="170">
        <f>商机统计!C6</f>
        <v>12</v>
      </c>
      <c r="M32" s="171">
        <f>商机统计!D6</f>
        <v>2148</v>
      </c>
      <c r="O32" s="169" t="str">
        <f>商机统计!F6</f>
        <v>具进康</v>
      </c>
      <c r="P32" s="170">
        <f>商机统计!G6</f>
        <v>9</v>
      </c>
      <c r="Q32" s="170">
        <f>商机统计!H6</f>
        <v>28.5</v>
      </c>
      <c r="R32" s="171">
        <f>商机统计!I6</f>
        <v>7383</v>
      </c>
    </row>
    <row r="33" ht="16.5" customHeight="1" spans="1:18">
      <c r="B33" s="160"/>
      <c r="C33" s="155" t="str">
        <f>高装高套!A6</f>
        <v>罗紫杰</v>
      </c>
      <c r="D33" s="155">
        <f>高装高套!C6</f>
        <v>1</v>
      </c>
      <c r="E33" s="155">
        <f>高装高套!B6</f>
        <v>0</v>
      </c>
      <c r="F33" s="156">
        <f t="shared" si="12"/>
        <v>0</v>
      </c>
      <c r="H33"/>
      <c r="I33" s="56"/>
      <c r="J33" s="166" t="str">
        <f>商机统计!A7</f>
        <v>麦海芬</v>
      </c>
      <c r="K33" s="167">
        <f>商机统计!B7</f>
        <v>4</v>
      </c>
      <c r="L33" s="167">
        <f>商机统计!C7</f>
        <v>11.5</v>
      </c>
      <c r="M33" s="168">
        <f>商机统计!D7</f>
        <v>2099</v>
      </c>
      <c r="O33" s="166" t="str">
        <f>商机统计!F7</f>
        <v>伍颖敏</v>
      </c>
      <c r="P33" s="167">
        <f>商机统计!G7</f>
        <v>5</v>
      </c>
      <c r="Q33" s="167">
        <f>商机统计!H7</f>
        <v>24.98</v>
      </c>
      <c r="R33" s="168">
        <f>商机统计!I7</f>
        <v>4884</v>
      </c>
    </row>
    <row r="34" ht="16.5" customHeight="1" spans="1:18">
      <c r="B34" s="160"/>
      <c r="C34" s="161" t="str">
        <f>高装高套!A7</f>
        <v>莫健铭</v>
      </c>
      <c r="D34" s="161">
        <f>高装高套!C7</f>
        <v>1</v>
      </c>
      <c r="E34" s="161">
        <f>高装高套!B7</f>
        <v>0</v>
      </c>
      <c r="F34" s="162">
        <f t="shared" si="12"/>
        <v>0</v>
      </c>
      <c r="H34"/>
      <c r="I34" s="56"/>
      <c r="J34" s="169" t="str">
        <f>商机统计!A8</f>
        <v>李东</v>
      </c>
      <c r="K34" s="170">
        <f>商机统计!B8</f>
        <v>5</v>
      </c>
      <c r="L34" s="170">
        <f>商机统计!C8</f>
        <v>11</v>
      </c>
      <c r="M34" s="171">
        <f>商机统计!D8</f>
        <v>1188</v>
      </c>
      <c r="O34" s="169" t="str">
        <f>商机统计!F8</f>
        <v>黄观霞</v>
      </c>
      <c r="P34" s="170">
        <f>商机统计!G8</f>
        <v>3</v>
      </c>
      <c r="Q34" s="170">
        <f>商机统计!H8</f>
        <v>21</v>
      </c>
      <c r="R34" s="171">
        <f>商机统计!I8</f>
        <v>4047</v>
      </c>
    </row>
    <row r="35" ht="16.5" customHeight="1" spans="1:18">
      <c r="B35" s="160"/>
      <c r="C35" s="155" t="str">
        <f>高装高套!A8</f>
        <v>吴广仁</v>
      </c>
      <c r="D35" s="155">
        <f>高装高套!C8</f>
        <v>1</v>
      </c>
      <c r="E35" s="155">
        <f>高装高套!B8</f>
        <v>0</v>
      </c>
      <c r="F35" s="156">
        <f t="shared" si="12"/>
        <v>0</v>
      </c>
      <c r="H35"/>
      <c r="I35" s="56"/>
      <c r="J35" s="166" t="str">
        <f>商机统计!A9</f>
        <v>邱海燕</v>
      </c>
      <c r="K35" s="167">
        <f>商机统计!B9</f>
        <v>2</v>
      </c>
      <c r="L35" s="167">
        <f>商机统计!C9</f>
        <v>10.8</v>
      </c>
      <c r="M35" s="168">
        <f>商机统计!D9</f>
        <v>2129</v>
      </c>
      <c r="O35" s="166" t="str">
        <f>商机统计!F9</f>
        <v>李玉强</v>
      </c>
      <c r="P35" s="167">
        <f>商机统计!G9</f>
        <v>7</v>
      </c>
      <c r="Q35" s="167">
        <f>商机统计!H9</f>
        <v>17.5</v>
      </c>
      <c r="R35" s="168">
        <f>商机统计!I9</f>
        <v>4460</v>
      </c>
    </row>
    <row r="36" ht="16.5" customHeight="1" spans="1:18">
      <c r="B36" s="172"/>
      <c r="C36" s="161" t="str">
        <f>高装高套!A9</f>
        <v>王洪明</v>
      </c>
      <c r="D36" s="161">
        <f>高装高套!C9</f>
        <v>1</v>
      </c>
      <c r="E36" s="161">
        <f>高装高套!B9</f>
        <v>0</v>
      </c>
      <c r="F36" s="162">
        <f t="shared" si="12"/>
        <v>0</v>
      </c>
      <c r="H36"/>
      <c r="I36" s="56"/>
      <c r="J36" s="169" t="str">
        <f>商机统计!A10</f>
        <v>具进康</v>
      </c>
      <c r="K36" s="170">
        <f>商机统计!B10</f>
        <v>6</v>
      </c>
      <c r="L36" s="170">
        <f>商机统计!C10</f>
        <v>8.5</v>
      </c>
      <c r="M36" s="171">
        <f>商机统计!D10</f>
        <v>2284</v>
      </c>
      <c r="O36" s="169" t="str">
        <f>商机统计!F10</f>
        <v>张小敏</v>
      </c>
      <c r="P36" s="170">
        <f>商机统计!G10</f>
        <v>8</v>
      </c>
      <c r="Q36" s="170">
        <f>商机统计!H10</f>
        <v>17</v>
      </c>
      <c r="R36" s="171">
        <f>商机统计!I10</f>
        <v>4567</v>
      </c>
    </row>
    <row r="37" ht="16.5" customHeight="1" spans="1:18">
      <c r="B37" s="173" t="s">
        <v>39</v>
      </c>
      <c r="C37" s="174"/>
      <c r="D37" s="173">
        <f>SUM(D29:D36)</f>
        <v>8</v>
      </c>
      <c r="E37" s="173">
        <f>SUM(E29:E36)</f>
        <v>0</v>
      </c>
      <c r="F37" s="175">
        <f t="shared" si="12"/>
        <v>0</v>
      </c>
      <c r="H37"/>
      <c r="I37" s="59"/>
      <c r="J37" s="166" t="str">
        <f>商机统计!A11</f>
        <v>李玉强</v>
      </c>
      <c r="K37" s="167">
        <f>商机统计!B11</f>
        <v>5</v>
      </c>
      <c r="L37" s="167">
        <f>商机统计!C11</f>
        <v>7.5</v>
      </c>
      <c r="M37" s="168">
        <f>商机统计!D11</f>
        <v>1324</v>
      </c>
      <c r="O37" s="166" t="str">
        <f>商机统计!F11</f>
        <v>王锦添</v>
      </c>
      <c r="P37" s="167">
        <f>商机统计!G11</f>
        <v>6</v>
      </c>
      <c r="Q37" s="167">
        <f>商机统计!H11</f>
        <v>15.33</v>
      </c>
      <c r="R37" s="168">
        <f>商机统计!I11</f>
        <v>3760</v>
      </c>
    </row>
    <row r="38" ht="16.5" customHeight="1" spans="1:18">
      <c r="D38"/>
      <c r="E38"/>
      <c r="F38"/>
      <c r="H38"/>
      <c r="I38" s="59"/>
      <c r="J38" s="169" t="str">
        <f>商机统计!A12</f>
        <v>伍颖敏</v>
      </c>
      <c r="K38" s="170">
        <f>商机统计!B12</f>
        <v>2</v>
      </c>
      <c r="L38" s="170">
        <f>商机统计!C12</f>
        <v>4.5</v>
      </c>
      <c r="M38" s="171">
        <f>商机统计!D12</f>
        <v>819</v>
      </c>
      <c r="O38" s="169" t="str">
        <f>商机统计!F12</f>
        <v>李东</v>
      </c>
      <c r="P38" s="170">
        <f>商机统计!G12</f>
        <v>6</v>
      </c>
      <c r="Q38" s="170">
        <f>商机统计!H12</f>
        <v>12</v>
      </c>
      <c r="R38" s="171">
        <f>商机统计!I12</f>
        <v>1388</v>
      </c>
    </row>
    <row r="39" ht="16.5" customHeight="1" spans="1:18">
      <c r="D39"/>
      <c r="E39"/>
      <c r="F39"/>
      <c r="H39"/>
      <c r="I39" s="56"/>
      <c r="J39" s="166" t="str">
        <f>商机统计!A13</f>
        <v>张小敏</v>
      </c>
      <c r="K39" s="167">
        <f>商机统计!B13</f>
        <v>1</v>
      </c>
      <c r="L39" s="167">
        <f>商机统计!C13</f>
        <v>2.5</v>
      </c>
      <c r="M39" s="168">
        <f>商机统计!D13</f>
        <v>399</v>
      </c>
      <c r="O39" s="166" t="str">
        <f>商机统计!F13</f>
        <v>麦海芬</v>
      </c>
      <c r="P39" s="167">
        <f>商机统计!G13</f>
        <v>5</v>
      </c>
      <c r="Q39" s="167">
        <f>商机统计!H13</f>
        <v>11.5</v>
      </c>
      <c r="R39" s="168">
        <f>商机统计!I13</f>
        <v>2099</v>
      </c>
    </row>
    <row r="40" ht="16.5" customHeight="1" spans="1:18">
      <c r="D40"/>
      <c r="E40"/>
      <c r="F40"/>
      <c r="H40"/>
      <c r="I40" s="56"/>
      <c r="J40" s="169" t="str">
        <f>商机统计!A14</f>
        <v>钟俊杰</v>
      </c>
      <c r="K40" s="170">
        <f>商机统计!B14</f>
        <v>0</v>
      </c>
      <c r="L40" s="170">
        <f>商机统计!C14</f>
        <v>0</v>
      </c>
      <c r="M40" s="171">
        <f>商机统计!D14</f>
        <v>0</v>
      </c>
      <c r="O40" s="169" t="str">
        <f>商机统计!F14</f>
        <v>冯艺康</v>
      </c>
      <c r="P40" s="170">
        <f>商机统计!G14</f>
        <v>1</v>
      </c>
      <c r="Q40" s="170">
        <f>商机统计!H14</f>
        <v>6</v>
      </c>
      <c r="R40" s="171">
        <f>商机统计!I14</f>
        <v>1200</v>
      </c>
    </row>
    <row r="41" ht="13.5" customHeight="1" spans="1:18">
      <c r="D41"/>
      <c r="E41"/>
      <c r="F41"/>
      <c r="H41"/>
      <c r="I41" s="56"/>
      <c r="J41" s="176" t="str">
        <f>商机统计!A15</f>
        <v>冯艺康</v>
      </c>
      <c r="K41" s="177">
        <f>商机统计!B15</f>
        <v>0</v>
      </c>
      <c r="L41" s="177">
        <f>商机统计!C15</f>
        <v>0</v>
      </c>
      <c r="M41" s="178">
        <f>商机统计!D15</f>
        <v>0</v>
      </c>
      <c r="O41" s="176" t="str">
        <f>商机统计!F15</f>
        <v>钟俊杰</v>
      </c>
      <c r="P41" s="177">
        <f>商机统计!G15</f>
        <v>0</v>
      </c>
      <c r="Q41" s="177">
        <f>商机统计!H15</f>
        <v>0</v>
      </c>
      <c r="R41" s="178">
        <f>商机统计!I15</f>
        <v>0</v>
      </c>
    </row>
    <row r="42" spans="1:18">
      <c r="D42"/>
      <c r="E42"/>
      <c r="F42"/>
      <c r="H42"/>
      <c r="I42" s="56"/>
      <c r="J42" s="179" t="s">
        <v>39</v>
      </c>
      <c r="K42" s="179">
        <f>SUM(K28:K41)</f>
        <v>51</v>
      </c>
      <c r="L42" s="179">
        <f>SUM(L28:L41)</f>
        <v>152.13</v>
      </c>
      <c r="M42" s="179">
        <f>SUM(M28:M41)</f>
        <v>28319</v>
      </c>
      <c r="O42" s="179" t="s">
        <v>39</v>
      </c>
      <c r="P42" s="179">
        <f>SUM(P28:P41)</f>
        <v>92</v>
      </c>
      <c r="Q42" s="179">
        <f>SUM(Q28:Q41)</f>
        <v>334.41</v>
      </c>
      <c r="R42" s="179">
        <f>SUM(R28:R41)</f>
        <v>64701</v>
      </c>
    </row>
    <row r="43" spans="1:18">
      <c r="A43" s="63"/>
      <c r="B43" s="63"/>
      <c r="C43" s="66"/>
      <c r="D43" s="67"/>
      <c r="E43" s="68"/>
      <c r="F43" s="56"/>
      <c r="G43" s="65"/>
      <c r="H43" s="56"/>
      <c r="I43" s="56"/>
    </row>
    <row r="44" ht="13.5" customHeight="1" spans="1:18">
      <c r="A44" s="70" t="s">
        <v>52</v>
      </c>
      <c r="B44" s="43"/>
      <c r="C44" s="43"/>
      <c r="D44" s="43"/>
      <c r="E44" s="43"/>
      <c r="F44" s="43"/>
      <c r="G44" s="43"/>
      <c r="H44" s="43"/>
      <c r="I44" s="44"/>
    </row>
    <row r="45" ht="13.5" customHeight="1" spans="1:18">
      <c r="A45" s="74" t="s">
        <v>0</v>
      </c>
      <c r="B45" s="75" t="s">
        <v>5</v>
      </c>
      <c r="C45" s="70" t="s">
        <v>53</v>
      </c>
      <c r="D45" s="43"/>
      <c r="E45" s="44"/>
      <c r="F45" s="70" t="s">
        <v>54</v>
      </c>
      <c r="G45" s="43"/>
      <c r="H45" s="43"/>
      <c r="I45" s="44"/>
    </row>
    <row r="46" ht="39" customHeight="1" spans="1:18">
      <c r="A46" s="180"/>
      <c r="B46" s="180"/>
      <c r="C46" s="74" t="s">
        <v>55</v>
      </c>
      <c r="D46" s="74" t="s">
        <v>56</v>
      </c>
      <c r="E46" s="74" t="s">
        <v>57</v>
      </c>
      <c r="F46" s="74" t="s">
        <v>58</v>
      </c>
      <c r="G46" s="75" t="s">
        <v>59</v>
      </c>
      <c r="H46" s="75" t="s">
        <v>60</v>
      </c>
      <c r="I46" s="75" t="s">
        <v>14</v>
      </c>
      <c r="J46" s="49" t="s">
        <v>61</v>
      </c>
    </row>
    <row r="47" ht="13.5" customHeight="1" spans="1:18">
      <c r="A47" s="75" t="s">
        <v>62</v>
      </c>
      <c r="B47" s="77"/>
      <c r="C47" s="77"/>
      <c r="D47" s="77"/>
      <c r="E47" s="78"/>
      <c r="F47" s="79"/>
      <c r="G47" s="79"/>
      <c r="H47" s="79"/>
      <c r="I47" s="80"/>
    </row>
    <row r="48" ht="23.25" customHeight="1" spans="1:18">
      <c r="A48" s="181"/>
      <c r="B48" s="77"/>
      <c r="C48" s="77"/>
      <c r="D48" s="77"/>
      <c r="E48" s="78"/>
      <c r="F48" s="79"/>
      <c r="G48" s="79"/>
      <c r="H48" s="79"/>
      <c r="I48" s="80"/>
      <c r="K48" s="182" t="str">
        <f ca="1">"📊 全光任务完成情况（截至"&amp;MONTH(TODAY()-1)&amp;"月"&amp;DAY(TODAY()-1)&amp;"日）"</f>
        <v>📊 全光任务完成情况（截至4月27日）</v>
      </c>
    </row>
    <row r="49" ht="42.75" customHeight="1" spans="1:15">
      <c r="A49" s="181"/>
      <c r="B49" s="77"/>
      <c r="C49" s="77"/>
      <c r="D49" s="77"/>
      <c r="E49" s="78"/>
      <c r="F49" s="79"/>
      <c r="G49" s="79"/>
      <c r="H49" s="79"/>
      <c r="I49" s="80"/>
      <c r="K49" s="183" t="s">
        <v>47</v>
      </c>
      <c r="L49" s="183" t="s">
        <v>48</v>
      </c>
      <c r="M49" s="183" t="s">
        <v>18</v>
      </c>
      <c r="N49" s="184" t="s">
        <v>63</v>
      </c>
      <c r="O49" s="183" t="s">
        <v>20</v>
      </c>
    </row>
    <row r="50" spans="1:15">
      <c r="A50" s="181"/>
      <c r="B50" s="77"/>
      <c r="C50" s="77"/>
      <c r="D50" s="77"/>
      <c r="E50" s="78"/>
      <c r="F50" s="79"/>
      <c r="G50" s="79"/>
      <c r="H50" s="79"/>
      <c r="I50" s="80"/>
      <c r="K50" s="185" t="s">
        <v>64</v>
      </c>
      <c r="L50" s="186" t="s">
        <v>65</v>
      </c>
      <c r="M50" s="186">
        <v>100</v>
      </c>
      <c r="N50" s="186">
        <f>交付高装!D2</f>
        <v>6</v>
      </c>
      <c r="O50" s="187">
        <f>交付高装!E2</f>
        <v>0.06</v>
      </c>
    </row>
    <row r="51" spans="1:15">
      <c r="A51" s="181"/>
      <c r="B51" s="77"/>
      <c r="C51" s="77"/>
      <c r="D51" s="77"/>
      <c r="E51" s="78"/>
      <c r="F51" s="79"/>
      <c r="G51" s="79"/>
      <c r="H51" s="79"/>
      <c r="I51" s="80"/>
      <c r="K51" s="188"/>
      <c r="L51" s="186" t="s">
        <v>66</v>
      </c>
      <c r="M51" s="186">
        <v>100</v>
      </c>
      <c r="N51" s="186">
        <f>交付高装!D3</f>
        <v>9</v>
      </c>
      <c r="O51" s="187">
        <f>交付高装!E3</f>
        <v>0.09</v>
      </c>
    </row>
    <row r="52" spans="1:15">
      <c r="A52" s="181"/>
      <c r="B52" s="77"/>
      <c r="C52" s="77"/>
      <c r="D52" s="77"/>
      <c r="E52" s="78"/>
      <c r="F52" s="79"/>
      <c r="G52" s="79"/>
      <c r="H52" s="79"/>
      <c r="I52" s="80"/>
      <c r="K52" s="188"/>
      <c r="L52" s="189" t="s">
        <v>67</v>
      </c>
      <c r="M52" s="186">
        <v>100</v>
      </c>
      <c r="N52" s="186">
        <f>交付高装!D4</f>
        <v>25</v>
      </c>
      <c r="O52" s="187">
        <f>交付高装!E4</f>
        <v>0.25</v>
      </c>
    </row>
    <row r="53" spans="1:15">
      <c r="A53" s="181"/>
      <c r="B53" s="77"/>
      <c r="C53" s="77"/>
      <c r="D53" s="77"/>
      <c r="E53" s="78"/>
      <c r="F53" s="79"/>
      <c r="G53" s="79"/>
      <c r="H53" s="79"/>
      <c r="I53" s="80"/>
      <c r="K53" s="188"/>
      <c r="L53" s="186" t="s">
        <v>68</v>
      </c>
      <c r="M53" s="186">
        <v>75</v>
      </c>
      <c r="N53" s="186">
        <f>交付高装!D5</f>
        <v>30</v>
      </c>
      <c r="O53" s="187">
        <f>交付高装!E5</f>
        <v>0.4</v>
      </c>
    </row>
    <row r="54" spans="1:15">
      <c r="A54" s="180"/>
      <c r="B54" s="82" t="s">
        <v>30</v>
      </c>
      <c r="C54" s="82"/>
      <c r="D54" s="82"/>
      <c r="E54" s="83"/>
      <c r="F54" s="82"/>
      <c r="G54" s="82"/>
      <c r="H54" s="82"/>
      <c r="I54" s="83"/>
      <c r="K54" s="190" t="s">
        <v>51</v>
      </c>
      <c r="L54" s="191" t="s">
        <v>69</v>
      </c>
      <c r="M54" s="192">
        <v>50</v>
      </c>
      <c r="N54" s="192">
        <f>交付高装!D6</f>
        <v>6</v>
      </c>
      <c r="O54" s="193">
        <f>交付高装!E6</f>
        <v>0.12</v>
      </c>
    </row>
    <row r="55" ht="13.5" customHeight="1" spans="1:15">
      <c r="A55" s="94" t="s">
        <v>70</v>
      </c>
      <c r="B55" s="77"/>
      <c r="C55" s="77"/>
      <c r="D55" s="77"/>
      <c r="E55" s="78"/>
      <c r="F55" s="79"/>
      <c r="G55" s="79"/>
      <c r="H55" s="79"/>
      <c r="I55" s="80"/>
      <c r="K55" s="181"/>
      <c r="L55" s="191" t="s">
        <v>71</v>
      </c>
      <c r="M55" s="192">
        <v>50</v>
      </c>
      <c r="N55" s="192">
        <f>交付高装!D7</f>
        <v>3</v>
      </c>
      <c r="O55" s="193">
        <f>交付高装!E7</f>
        <v>0.06</v>
      </c>
    </row>
    <row r="56" spans="1:15">
      <c r="A56" s="181"/>
      <c r="B56" s="77"/>
      <c r="C56" s="77"/>
      <c r="D56" s="77"/>
      <c r="E56" s="78"/>
      <c r="F56" s="79"/>
      <c r="G56" s="79"/>
      <c r="H56" s="79"/>
      <c r="I56" s="80"/>
      <c r="K56" s="181"/>
      <c r="L56" s="191" t="s">
        <v>72</v>
      </c>
      <c r="M56" s="192">
        <v>50</v>
      </c>
      <c r="N56" s="192">
        <f>交付高装!D8</f>
        <v>0</v>
      </c>
      <c r="O56" s="193">
        <f>交付高装!E8</f>
        <v>0</v>
      </c>
    </row>
    <row r="57" spans="1:15">
      <c r="A57" s="181"/>
      <c r="B57" s="77"/>
      <c r="C57" s="77"/>
      <c r="D57" s="77"/>
      <c r="E57" s="78"/>
      <c r="F57" s="79"/>
      <c r="G57" s="79"/>
      <c r="H57" s="79"/>
      <c r="I57" s="80"/>
      <c r="K57" s="181"/>
      <c r="L57" s="191" t="s">
        <v>73</v>
      </c>
      <c r="M57" s="192">
        <v>50</v>
      </c>
      <c r="N57" s="192">
        <f>交付高装!D9</f>
        <v>6</v>
      </c>
      <c r="O57" s="193">
        <f>交付高装!E9</f>
        <v>0.12</v>
      </c>
    </row>
    <row r="58" spans="1:15">
      <c r="A58" s="181"/>
      <c r="B58" s="77"/>
      <c r="C58" s="77"/>
      <c r="D58" s="77"/>
      <c r="E58" s="78"/>
      <c r="F58" s="79"/>
      <c r="G58" s="79"/>
      <c r="H58" s="79"/>
      <c r="I58" s="80"/>
      <c r="K58" s="181"/>
      <c r="L58" s="191" t="s">
        <v>74</v>
      </c>
      <c r="M58" s="192">
        <v>50</v>
      </c>
      <c r="N58" s="192">
        <f>交付高装!D10</f>
        <v>11</v>
      </c>
      <c r="O58" s="193">
        <f>交付高装!E10</f>
        <v>0.22</v>
      </c>
    </row>
    <row r="59" spans="1:15">
      <c r="A59" s="181"/>
      <c r="B59" s="77"/>
      <c r="C59" s="77"/>
      <c r="D59" s="77"/>
      <c r="E59" s="78"/>
      <c r="F59" s="79"/>
      <c r="G59" s="79"/>
      <c r="H59" s="79"/>
      <c r="I59" s="80"/>
      <c r="K59" s="181"/>
      <c r="L59" s="191" t="s">
        <v>75</v>
      </c>
      <c r="M59" s="192">
        <v>50</v>
      </c>
      <c r="N59" s="192">
        <f>交付高装!D11</f>
        <v>14</v>
      </c>
      <c r="O59" s="193">
        <f>交付高装!E11</f>
        <v>0.28</v>
      </c>
    </row>
    <row r="60" spans="1:15">
      <c r="A60" s="181"/>
      <c r="B60" s="77"/>
      <c r="C60" s="77"/>
      <c r="D60" s="77"/>
      <c r="E60" s="78"/>
      <c r="F60" s="79"/>
      <c r="G60" s="79"/>
      <c r="H60" s="79"/>
      <c r="I60" s="80"/>
      <c r="K60" s="181"/>
      <c r="L60" s="191" t="s">
        <v>76</v>
      </c>
      <c r="M60" s="192">
        <v>50</v>
      </c>
      <c r="N60" s="192">
        <f>交付高装!D12</f>
        <v>30</v>
      </c>
      <c r="O60" s="193">
        <f>交付高装!E12</f>
        <v>0.6</v>
      </c>
    </row>
    <row r="61" spans="1:15">
      <c r="A61" s="181"/>
      <c r="B61" s="77"/>
      <c r="C61" s="77"/>
      <c r="D61" s="77"/>
      <c r="E61" s="78"/>
      <c r="F61" s="79"/>
      <c r="G61" s="79"/>
      <c r="H61" s="79"/>
      <c r="I61" s="80"/>
      <c r="K61" s="180"/>
      <c r="L61" s="194" t="s">
        <v>77</v>
      </c>
      <c r="M61" s="192">
        <v>310</v>
      </c>
      <c r="N61" s="192">
        <f>SUM(N50:N53)</f>
        <v>70</v>
      </c>
      <c r="O61" s="193">
        <f>N61/M61</f>
        <v>0.225806451612903</v>
      </c>
    </row>
    <row r="62" spans="1:15">
      <c r="A62" s="181"/>
      <c r="B62" s="77"/>
      <c r="C62" s="77"/>
      <c r="D62" s="77"/>
      <c r="E62" s="78"/>
      <c r="F62" s="79"/>
      <c r="G62" s="79"/>
      <c r="H62" s="79"/>
      <c r="I62" s="80"/>
    </row>
    <row r="63" spans="1:15">
      <c r="A63" s="180"/>
      <c r="B63" s="82" t="s">
        <v>30</v>
      </c>
      <c r="C63" s="82"/>
      <c r="D63" s="82"/>
      <c r="E63" s="83"/>
      <c r="F63" s="82"/>
      <c r="G63" s="82"/>
      <c r="H63" s="82"/>
      <c r="I63" s="83"/>
    </row>
    <row r="64" ht="13.5" customHeight="1" spans="1:15">
      <c r="A64" s="195" t="s">
        <v>39</v>
      </c>
      <c r="B64" s="44"/>
      <c r="C64" s="82"/>
      <c r="D64" s="82"/>
      <c r="E64" s="83"/>
      <c r="F64" s="82"/>
      <c r="G64" s="82"/>
      <c r="H64" s="82"/>
      <c r="I64" s="83"/>
    </row>
    <row r="65" ht="13.5" customHeight="1" spans="1:10">
      <c r="A65" s="85" t="s">
        <v>78</v>
      </c>
      <c r="H65" s="86"/>
      <c r="I65" s="86"/>
    </row>
    <row r="66" spans="1:10">
      <c r="A66" s="65"/>
      <c r="B66" s="65"/>
      <c r="C66" s="65"/>
      <c r="D66" s="65"/>
      <c r="E66" s="65"/>
      <c r="F66" s="65"/>
      <c r="G66" s="65"/>
      <c r="H66" s="65"/>
      <c r="I66" s="65"/>
    </row>
    <row r="67" ht="13.5" customHeight="1" spans="1:10">
      <c r="A67" s="75" t="s">
        <v>79</v>
      </c>
      <c r="B67" s="43"/>
      <c r="C67" s="43"/>
      <c r="D67" s="43"/>
      <c r="E67" s="43"/>
      <c r="F67" s="43"/>
      <c r="G67" s="43"/>
      <c r="H67" s="43"/>
      <c r="I67" s="44"/>
    </row>
    <row r="68" ht="52" customHeight="1" spans="1:10">
      <c r="A68" s="74" t="s">
        <v>0</v>
      </c>
      <c r="B68" s="75" t="s">
        <v>5</v>
      </c>
      <c r="C68" s="75" t="s">
        <v>80</v>
      </c>
      <c r="D68" s="75" t="s">
        <v>81</v>
      </c>
      <c r="E68" s="75" t="s">
        <v>82</v>
      </c>
      <c r="F68" s="75" t="s">
        <v>83</v>
      </c>
      <c r="G68" s="75" t="s">
        <v>84</v>
      </c>
      <c r="H68" s="75" t="s">
        <v>85</v>
      </c>
      <c r="I68" s="75" t="s">
        <v>86</v>
      </c>
      <c r="J68" t="s">
        <v>87</v>
      </c>
    </row>
    <row r="69" ht="13.5" customHeight="1" spans="1:10">
      <c r="A69" s="196" t="s">
        <v>62</v>
      </c>
      <c r="B69" s="79"/>
      <c r="C69" s="79"/>
      <c r="D69" s="79"/>
      <c r="E69" s="80"/>
      <c r="F69" s="79"/>
      <c r="G69" s="80"/>
      <c r="H69" s="79"/>
      <c r="I69" s="79"/>
    </row>
    <row r="70" spans="1:10">
      <c r="A70" s="181"/>
      <c r="B70" s="79"/>
      <c r="C70" s="79"/>
      <c r="D70" s="79"/>
      <c r="E70" s="80"/>
      <c r="F70" s="79"/>
      <c r="G70" s="80"/>
      <c r="H70" s="79"/>
      <c r="I70" s="79"/>
    </row>
    <row r="71" spans="1:10">
      <c r="A71" s="181"/>
      <c r="B71" s="79"/>
      <c r="C71" s="79"/>
      <c r="D71" s="79"/>
      <c r="E71" s="80"/>
      <c r="F71" s="79"/>
      <c r="G71" s="80"/>
      <c r="H71" s="79"/>
      <c r="I71" s="79"/>
    </row>
    <row r="72" spans="1:10">
      <c r="A72" s="181"/>
      <c r="B72" s="79"/>
      <c r="C72" s="79"/>
      <c r="D72" s="79"/>
      <c r="E72" s="80"/>
      <c r="F72" s="79"/>
      <c r="G72" s="80"/>
      <c r="H72" s="79"/>
      <c r="I72" s="79"/>
    </row>
    <row r="73" spans="1:10">
      <c r="A73" s="181"/>
      <c r="B73" s="82" t="s">
        <v>30</v>
      </c>
      <c r="C73" s="82"/>
      <c r="D73" s="82"/>
      <c r="E73" s="83"/>
      <c r="F73" s="82"/>
      <c r="G73" s="83"/>
      <c r="H73" s="82"/>
      <c r="I73" s="82"/>
    </row>
    <row r="74" ht="13.5" customHeight="1" spans="1:10">
      <c r="A74" s="75" t="s">
        <v>70</v>
      </c>
      <c r="B74" s="79"/>
      <c r="C74" s="79"/>
      <c r="D74" s="79"/>
      <c r="E74" s="80"/>
      <c r="F74" s="79"/>
      <c r="G74" s="80"/>
      <c r="H74" s="79"/>
      <c r="I74" s="79"/>
    </row>
    <row r="75" spans="1:10">
      <c r="A75" s="181"/>
      <c r="B75" s="79"/>
      <c r="C75" s="79"/>
      <c r="D75" s="79"/>
      <c r="E75" s="80"/>
      <c r="F75" s="79"/>
      <c r="G75" s="80"/>
      <c r="H75" s="79"/>
      <c r="I75" s="79"/>
    </row>
    <row r="76" spans="1:10">
      <c r="A76" s="181"/>
      <c r="B76" s="79"/>
      <c r="C76" s="79"/>
      <c r="D76" s="79"/>
      <c r="E76" s="80"/>
      <c r="F76" s="79"/>
      <c r="G76" s="80"/>
      <c r="H76" s="79"/>
      <c r="I76" s="79"/>
    </row>
    <row r="77" spans="1:10">
      <c r="A77" s="181"/>
      <c r="B77" s="79"/>
      <c r="C77" s="79"/>
      <c r="D77" s="79"/>
      <c r="E77" s="80"/>
      <c r="F77" s="79"/>
      <c r="G77" s="80"/>
      <c r="H77" s="79"/>
      <c r="I77" s="79"/>
    </row>
    <row r="78" spans="1:10">
      <c r="A78" s="181"/>
      <c r="B78" s="79"/>
      <c r="C78" s="79"/>
      <c r="D78" s="79"/>
      <c r="E78" s="80"/>
      <c r="F78" s="79"/>
      <c r="G78" s="80"/>
      <c r="H78" s="79"/>
      <c r="I78" s="79"/>
    </row>
    <row r="79" spans="1:10">
      <c r="A79" s="180"/>
      <c r="B79" s="82" t="s">
        <v>30</v>
      </c>
      <c r="C79" s="82"/>
      <c r="D79" s="82"/>
      <c r="E79" s="83"/>
      <c r="F79" s="82"/>
      <c r="G79" s="83"/>
      <c r="H79" s="82"/>
      <c r="I79" s="82"/>
    </row>
    <row r="80" ht="13.5" customHeight="1" spans="1:10">
      <c r="A80" s="82" t="s">
        <v>88</v>
      </c>
      <c r="B80" s="44"/>
      <c r="C80" s="82"/>
      <c r="D80" s="82"/>
      <c r="E80" s="83"/>
      <c r="F80" s="82"/>
      <c r="G80" s="83"/>
      <c r="H80" s="82"/>
      <c r="I80" s="82"/>
    </row>
    <row r="81" spans="1:9">
      <c r="A81" s="56"/>
      <c r="B81" s="56"/>
      <c r="C81" s="56"/>
      <c r="D81" s="56"/>
      <c r="E81" s="56"/>
      <c r="F81" s="56"/>
      <c r="G81" s="56"/>
      <c r="H81" s="56"/>
      <c r="I81" s="56"/>
    </row>
    <row r="82" spans="1:9">
      <c r="A82" s="56"/>
      <c r="B82" s="56"/>
      <c r="C82" s="56"/>
      <c r="D82" s="56"/>
      <c r="E82" s="56"/>
      <c r="F82" s="56"/>
      <c r="G82" s="56"/>
      <c r="H82" s="56"/>
      <c r="I82" s="56"/>
    </row>
    <row r="83" ht="13.5" customHeight="1" spans="1:9">
      <c r="A83" s="75" t="s">
        <v>89</v>
      </c>
      <c r="B83" s="43"/>
      <c r="C83" s="43"/>
      <c r="D83" s="43"/>
      <c r="E83" s="43"/>
      <c r="F83" s="43"/>
      <c r="G83" s="43"/>
      <c r="H83" s="43"/>
      <c r="I83" s="44"/>
    </row>
    <row r="84" ht="52" customHeight="1" spans="1:9">
      <c r="A84" s="74" t="s">
        <v>0</v>
      </c>
      <c r="B84" s="72" t="s">
        <v>5</v>
      </c>
      <c r="C84" s="75" t="s">
        <v>80</v>
      </c>
      <c r="D84" s="75" t="s">
        <v>81</v>
      </c>
      <c r="E84" s="75" t="s">
        <v>82</v>
      </c>
      <c r="F84" s="75" t="s">
        <v>83</v>
      </c>
      <c r="G84" s="75" t="s">
        <v>84</v>
      </c>
      <c r="H84" s="75" t="s">
        <v>85</v>
      </c>
      <c r="I84" s="75" t="s">
        <v>86</v>
      </c>
    </row>
    <row r="85" ht="13.5" customHeight="1" spans="1:9">
      <c r="A85" s="196" t="s">
        <v>62</v>
      </c>
      <c r="B85" s="88"/>
      <c r="C85" s="77"/>
      <c r="D85" s="79"/>
      <c r="E85" s="80"/>
      <c r="F85" s="79"/>
      <c r="G85" s="80"/>
      <c r="H85" s="79"/>
      <c r="I85" s="79"/>
    </row>
    <row r="86" spans="1:9">
      <c r="A86" s="181"/>
      <c r="B86" s="88"/>
      <c r="C86" s="77"/>
      <c r="D86" s="79"/>
      <c r="E86" s="80"/>
      <c r="F86" s="79"/>
      <c r="G86" s="80"/>
      <c r="H86" s="79"/>
      <c r="I86" s="79"/>
    </row>
    <row r="87" spans="1:9">
      <c r="A87" s="181"/>
      <c r="B87" s="88"/>
      <c r="C87" s="77"/>
      <c r="D87" s="79"/>
      <c r="E87" s="80"/>
      <c r="F87" s="79"/>
      <c r="G87" s="80"/>
      <c r="H87" s="79"/>
      <c r="I87" s="79"/>
    </row>
    <row r="88" spans="1:9">
      <c r="A88" s="181"/>
      <c r="B88" s="88"/>
      <c r="C88" s="77"/>
      <c r="D88" s="79"/>
      <c r="E88" s="80"/>
      <c r="F88" s="79"/>
      <c r="G88" s="80"/>
      <c r="H88" s="79"/>
      <c r="I88" s="79"/>
    </row>
    <row r="89" spans="1:9">
      <c r="A89" s="181"/>
      <c r="B89" s="195" t="s">
        <v>30</v>
      </c>
      <c r="C89" s="82"/>
      <c r="D89" s="82"/>
      <c r="E89" s="83"/>
      <c r="F89" s="82"/>
      <c r="G89" s="83"/>
      <c r="H89" s="82"/>
      <c r="I89" s="82"/>
    </row>
    <row r="90" ht="13.5" customHeight="1" spans="1:9">
      <c r="A90" s="75" t="s">
        <v>70</v>
      </c>
      <c r="B90" s="88"/>
      <c r="C90" s="77"/>
      <c r="D90" s="79"/>
      <c r="E90" s="80"/>
      <c r="F90" s="79"/>
      <c r="G90" s="80"/>
      <c r="H90" s="79"/>
      <c r="I90" s="79"/>
    </row>
    <row r="91" spans="1:9">
      <c r="A91" s="181"/>
      <c r="B91" s="88"/>
      <c r="C91" s="77"/>
      <c r="D91" s="79"/>
      <c r="E91" s="80"/>
      <c r="F91" s="79"/>
      <c r="G91" s="80"/>
      <c r="H91" s="79"/>
      <c r="I91" s="79"/>
    </row>
    <row r="92" spans="1:9">
      <c r="A92" s="180"/>
      <c r="B92" s="195" t="s">
        <v>30</v>
      </c>
      <c r="C92" s="82"/>
      <c r="D92" s="82"/>
      <c r="E92" s="83"/>
      <c r="F92" s="82"/>
      <c r="G92" s="83"/>
      <c r="H92" s="82"/>
      <c r="I92" s="82"/>
    </row>
    <row r="93" ht="13.5" customHeight="1" spans="1:9">
      <c r="A93" s="82" t="s">
        <v>88</v>
      </c>
      <c r="B93" s="44"/>
      <c r="C93" s="82"/>
      <c r="D93" s="82"/>
      <c r="E93" s="83"/>
      <c r="F93" s="82"/>
      <c r="G93" s="83"/>
      <c r="H93" s="82"/>
      <c r="I93" s="89"/>
    </row>
    <row r="94" ht="13.5" customHeight="1" spans="1:9">
      <c r="A94" s="90" t="s">
        <v>90</v>
      </c>
      <c r="E94" s="56"/>
      <c r="F94" s="56"/>
      <c r="G94" s="56"/>
      <c r="H94" s="56"/>
      <c r="I94" s="56"/>
    </row>
    <row r="95" spans="1:9">
      <c r="A95" s="56"/>
      <c r="B95" s="56"/>
      <c r="C95" s="56"/>
      <c r="D95" s="56"/>
      <c r="E95" s="56"/>
      <c r="F95" s="56"/>
      <c r="G95" s="56"/>
      <c r="H95" s="56"/>
      <c r="I95" s="56"/>
    </row>
    <row r="96" spans="1:9">
      <c r="A96" s="49"/>
      <c r="B96" s="49"/>
      <c r="C96" s="56"/>
      <c r="D96" s="56"/>
      <c r="E96" s="56"/>
      <c r="F96" s="56"/>
      <c r="G96" s="56"/>
      <c r="H96" s="56"/>
      <c r="I96" s="56"/>
    </row>
    <row r="97" ht="13.5" customHeight="1" spans="1:9">
      <c r="A97" s="74" t="s">
        <v>91</v>
      </c>
      <c r="B97" s="43"/>
      <c r="C97" s="43"/>
      <c r="D97" s="43"/>
      <c r="E97" s="43"/>
      <c r="F97" s="43"/>
      <c r="G97" s="43"/>
      <c r="H97" s="44"/>
      <c r="I97" s="56"/>
    </row>
    <row r="98" ht="52" customHeight="1" spans="1:9">
      <c r="A98" s="74" t="s">
        <v>0</v>
      </c>
      <c r="B98" s="92" t="s">
        <v>92</v>
      </c>
      <c r="C98" s="93" t="s">
        <v>5</v>
      </c>
      <c r="D98" s="94" t="s">
        <v>93</v>
      </c>
      <c r="E98" s="93" t="s">
        <v>94</v>
      </c>
      <c r="F98" s="94" t="s">
        <v>95</v>
      </c>
      <c r="G98" s="94" t="s">
        <v>96</v>
      </c>
      <c r="H98" s="93" t="s">
        <v>97</v>
      </c>
      <c r="I98" s="56"/>
    </row>
    <row r="99" ht="13.5" customHeight="1" spans="1:9">
      <c r="A99" s="196" t="s">
        <v>62</v>
      </c>
      <c r="B99" s="95"/>
      <c r="C99" s="77"/>
      <c r="D99" s="77"/>
      <c r="E99" s="77"/>
      <c r="F99" s="77"/>
      <c r="G99" s="77"/>
      <c r="H99" s="77"/>
      <c r="I99" s="49"/>
    </row>
    <row r="100" spans="1:9">
      <c r="A100" s="181"/>
      <c r="B100" s="95"/>
      <c r="C100" s="77"/>
      <c r="D100" s="77"/>
      <c r="E100" s="77"/>
      <c r="F100" s="77"/>
      <c r="G100" s="77"/>
      <c r="H100" s="77"/>
      <c r="I100" s="49"/>
    </row>
    <row r="101" spans="1:9">
      <c r="A101" s="75" t="s">
        <v>70</v>
      </c>
      <c r="B101" s="95"/>
      <c r="C101" s="77"/>
      <c r="D101" s="77"/>
      <c r="E101" s="77"/>
      <c r="F101" s="77"/>
      <c r="G101" s="77"/>
      <c r="H101" s="77"/>
      <c r="I101" s="56"/>
    </row>
    <row r="102" spans="1:9">
      <c r="A102" s="56"/>
      <c r="B102" s="96" t="s">
        <v>98</v>
      </c>
      <c r="C102" s="49"/>
      <c r="D102" s="49"/>
      <c r="E102" s="49"/>
      <c r="F102" s="96"/>
      <c r="G102" s="49"/>
      <c r="H102" s="49"/>
      <c r="I102" s="56"/>
    </row>
    <row r="103" spans="1:9">
      <c r="A103" s="56"/>
      <c r="B103" s="56"/>
      <c r="C103" s="56"/>
      <c r="D103" s="56"/>
      <c r="E103" s="56"/>
      <c r="F103" s="56"/>
      <c r="G103" s="56"/>
      <c r="H103" s="56"/>
      <c r="I103" s="56"/>
    </row>
  </sheetData>
  <mergeCells count="50">
    <mergeCell ref="B1:Q1"/>
    <mergeCell ref="B2:H2"/>
    <mergeCell ref="I2:N2"/>
    <mergeCell ref="O2:Q2"/>
    <mergeCell ref="R3:AA3"/>
    <mergeCell ref="J25:M25"/>
    <mergeCell ref="O25:R25"/>
    <mergeCell ref="J26:M26"/>
    <mergeCell ref="O26:R26"/>
    <mergeCell ref="B27:F27"/>
    <mergeCell ref="B37:C37"/>
    <mergeCell ref="A44:I44"/>
    <mergeCell ref="C45:E45"/>
    <mergeCell ref="F45:I45"/>
    <mergeCell ref="K48:O48"/>
    <mergeCell ref="A64:B64"/>
    <mergeCell ref="A65:G65"/>
    <mergeCell ref="A67:I67"/>
    <mergeCell ref="A80:B80"/>
    <mergeCell ref="A83:I83"/>
    <mergeCell ref="A93:B93"/>
    <mergeCell ref="A94:D94"/>
    <mergeCell ref="A97:H97"/>
    <mergeCell ref="A1:A3"/>
    <mergeCell ref="A4:A11"/>
    <mergeCell ref="A12:A19"/>
    <mergeCell ref="A45:A46"/>
    <mergeCell ref="A47:A54"/>
    <mergeCell ref="A55:A63"/>
    <mergeCell ref="A69:A73"/>
    <mergeCell ref="A74:A79"/>
    <mergeCell ref="A85:A89"/>
    <mergeCell ref="A90:A92"/>
    <mergeCell ref="A99:A100"/>
    <mergeCell ref="B29:B36"/>
    <mergeCell ref="B45:B46"/>
    <mergeCell ref="C20:C21"/>
    <mergeCell ref="D20:D21"/>
    <mergeCell ref="E20:E21"/>
    <mergeCell ref="F20:F21"/>
    <mergeCell ref="G20:G21"/>
    <mergeCell ref="H20:H21"/>
    <mergeCell ref="I20:I21"/>
    <mergeCell ref="J20:J21"/>
    <mergeCell ref="K20:K21"/>
    <mergeCell ref="K50:K53"/>
    <mergeCell ref="K54:K61"/>
    <mergeCell ref="L20:L21"/>
    <mergeCell ref="M20:M21"/>
    <mergeCell ref="A20:B21"/>
  </mergeCells>
  <conditionalFormatting sqref="G1:G20 G22:G23 G43:G1048576">
    <cfRule type="cellIs" dxfId="6" priority="1" operator="equal">
      <formula>"是"</formula>
    </cfRule>
  </conditionalFormatting>
  <pageMargins left="0.75" right="0.75" top="1" bottom="1" header="0.5" footer="0.5"/>
  <pageSetup paperSize="9" scale="44" orientation="portrait"/>
  <headerFooter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06"/>
  <sheetViews>
    <sheetView zoomScale="110" zoomScaleNormal="110" workbookViewId="0">
      <selection activeCell="E22" sqref="E22"/>
    </sheetView>
  </sheetViews>
  <sheetFormatPr defaultColWidth="9" defaultRowHeight="14"/>
  <cols>
    <col min="1" max="1" width="9" style="3" customWidth="1"/>
    <col min="6" max="6" width="9.25454545454545" style="3" customWidth="1"/>
    <col min="8" max="8" width="9.25454545454545" style="3" customWidth="1"/>
    <col min="10" max="10" width="10.9" style="3" customWidth="1"/>
    <col min="16" max="16" width="9" style="2" customWidth="1"/>
  </cols>
  <sheetData>
    <row r="1" ht="33.75" customHeight="1" spans="1:22">
      <c r="A1" s="12"/>
      <c r="B1" s="13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  <c r="P1" s="15"/>
    </row>
    <row r="2" ht="14.25" customHeight="1" spans="1:22">
      <c r="A2" s="16"/>
      <c r="B2" s="17" t="s">
        <v>99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5"/>
    </row>
    <row r="3" ht="14.25" customHeight="1" spans="1:22">
      <c r="A3" s="16"/>
      <c r="B3" s="17" t="s">
        <v>1</v>
      </c>
      <c r="C3" s="14"/>
      <c r="D3" s="14"/>
      <c r="E3" s="15"/>
      <c r="F3" s="17" t="s">
        <v>2</v>
      </c>
      <c r="G3" s="14"/>
      <c r="H3" s="14"/>
      <c r="I3" s="14"/>
      <c r="J3" s="14"/>
      <c r="K3" s="15"/>
      <c r="L3" s="17" t="s">
        <v>3</v>
      </c>
      <c r="M3" s="14"/>
      <c r="N3" s="14"/>
      <c r="O3" s="14"/>
      <c r="P3" s="15"/>
      <c r="S3" t="s">
        <v>4</v>
      </c>
    </row>
    <row r="4" ht="70" customHeight="1" spans="1:22">
      <c r="A4" s="16"/>
      <c r="B4" s="17" t="s">
        <v>5</v>
      </c>
      <c r="C4" s="17" t="s">
        <v>49</v>
      </c>
      <c r="D4" s="17" t="s">
        <v>100</v>
      </c>
      <c r="E4" s="17" t="s">
        <v>101</v>
      </c>
      <c r="F4" s="17" t="s">
        <v>12</v>
      </c>
      <c r="G4" s="17" t="s">
        <v>13</v>
      </c>
      <c r="H4" s="17" t="s">
        <v>14</v>
      </c>
      <c r="I4" s="17" t="s">
        <v>15</v>
      </c>
      <c r="J4" s="17" t="s">
        <v>16</v>
      </c>
      <c r="K4" s="17" t="s">
        <v>17</v>
      </c>
      <c r="L4" s="17" t="s">
        <v>18</v>
      </c>
      <c r="M4" s="17" t="s">
        <v>102</v>
      </c>
      <c r="N4" s="17" t="s">
        <v>103</v>
      </c>
      <c r="O4" s="17" t="s">
        <v>104</v>
      </c>
      <c r="P4" s="18" t="s">
        <v>20</v>
      </c>
      <c r="Q4" s="19" t="s">
        <v>21</v>
      </c>
    </row>
    <row r="5" ht="14.25" customHeight="1" spans="1:22">
      <c r="A5" s="16"/>
      <c r="B5" s="20" t="s">
        <v>29</v>
      </c>
      <c r="C5" s="20">
        <v>8.8</v>
      </c>
      <c r="D5" s="20">
        <v>8.25</v>
      </c>
      <c r="E5" s="21">
        <v>0.9375</v>
      </c>
      <c r="F5" s="22">
        <v>1964.76</v>
      </c>
      <c r="G5" s="20">
        <v>2500</v>
      </c>
      <c r="H5" s="21">
        <v>1.43311905882353</v>
      </c>
      <c r="I5" s="22">
        <v>1</v>
      </c>
      <c r="J5" s="22">
        <v>1914</v>
      </c>
      <c r="K5" s="20"/>
      <c r="L5" s="20">
        <v>25</v>
      </c>
      <c r="M5" s="23">
        <v>1</v>
      </c>
      <c r="N5" s="23">
        <v>0</v>
      </c>
      <c r="O5" s="23">
        <v>4</v>
      </c>
      <c r="P5" s="24">
        <v>0.16</v>
      </c>
    </row>
    <row r="6" ht="16.5" customHeight="1" spans="1:22">
      <c r="A6" s="16"/>
      <c r="B6" s="20" t="s">
        <v>27</v>
      </c>
      <c r="C6" s="20">
        <v>8.8</v>
      </c>
      <c r="D6" s="20">
        <v>4</v>
      </c>
      <c r="E6" s="21">
        <v>0.454545454545455</v>
      </c>
      <c r="F6" s="22">
        <v>1211.4</v>
      </c>
      <c r="G6" s="20">
        <v>2500</v>
      </c>
      <c r="H6" s="21">
        <v>0.883609411764706</v>
      </c>
      <c r="I6" s="22">
        <v>2</v>
      </c>
      <c r="J6" s="22">
        <v>506</v>
      </c>
      <c r="K6" s="20"/>
      <c r="L6" s="20">
        <v>25</v>
      </c>
      <c r="M6" s="23">
        <v>1</v>
      </c>
      <c r="N6" s="23">
        <v>2</v>
      </c>
      <c r="O6" s="23">
        <v>5</v>
      </c>
      <c r="P6" s="24">
        <v>0.28</v>
      </c>
    </row>
    <row r="7" ht="16.5" customHeight="1" spans="1:22">
      <c r="A7" s="16"/>
      <c r="B7" s="20" t="s">
        <v>28</v>
      </c>
      <c r="C7" s="20">
        <v>8.8</v>
      </c>
      <c r="D7" s="20">
        <v>2.5</v>
      </c>
      <c r="E7" s="21">
        <v>0.284090909090909</v>
      </c>
      <c r="F7" s="22">
        <v>1185</v>
      </c>
      <c r="G7" s="20">
        <v>2500</v>
      </c>
      <c r="H7" s="21">
        <v>0.864352941176471</v>
      </c>
      <c r="I7" s="22">
        <v>3</v>
      </c>
      <c r="J7" s="22">
        <v>1159</v>
      </c>
      <c r="K7" s="20"/>
      <c r="L7" s="20">
        <v>25</v>
      </c>
      <c r="M7" s="23">
        <v>2</v>
      </c>
      <c r="N7" s="23">
        <v>2</v>
      </c>
      <c r="O7" s="23">
        <v>4</v>
      </c>
      <c r="P7" s="24">
        <v>0.24</v>
      </c>
      <c r="T7" s="25" t="s">
        <v>23</v>
      </c>
      <c r="U7">
        <f t="shared" ref="U7:U20" si="0">VLOOKUP(T:T,B:F,5,0)</f>
        <v>137</v>
      </c>
      <c r="V7">
        <f t="shared" ref="V7:V20" si="1">RANK(U7,U$7:U$22,0)</f>
        <v>15</v>
      </c>
    </row>
    <row r="8" ht="16.5" customHeight="1" spans="1:22">
      <c r="A8" s="16"/>
      <c r="B8" s="20" t="s">
        <v>38</v>
      </c>
      <c r="C8" s="20">
        <v>8.8</v>
      </c>
      <c r="D8" s="20">
        <v>4.5</v>
      </c>
      <c r="E8" s="21">
        <v>0.511363636363636</v>
      </c>
      <c r="F8" s="22">
        <v>986.2</v>
      </c>
      <c r="G8" s="20">
        <v>2500</v>
      </c>
      <c r="H8" s="21">
        <v>0.719345882352941</v>
      </c>
      <c r="I8" s="22">
        <v>4</v>
      </c>
      <c r="J8" s="22">
        <v>996.2</v>
      </c>
      <c r="K8" s="20"/>
      <c r="L8" s="20">
        <v>25</v>
      </c>
      <c r="M8" s="23">
        <v>1</v>
      </c>
      <c r="N8" s="23">
        <v>2</v>
      </c>
      <c r="O8" s="23">
        <v>16</v>
      </c>
      <c r="P8" s="24">
        <v>0.72</v>
      </c>
      <c r="T8" s="25" t="s">
        <v>24</v>
      </c>
      <c r="U8">
        <f t="shared" si="0"/>
        <v>358</v>
      </c>
      <c r="V8">
        <f t="shared" si="1"/>
        <v>13</v>
      </c>
    </row>
    <row r="9" ht="16.5" customHeight="1" spans="1:22">
      <c r="A9" s="16"/>
      <c r="B9" s="20" t="s">
        <v>34</v>
      </c>
      <c r="C9" s="20">
        <v>8.8</v>
      </c>
      <c r="D9" s="20">
        <v>7.5</v>
      </c>
      <c r="E9" s="21">
        <v>0.852272727272727</v>
      </c>
      <c r="F9" s="22">
        <v>927</v>
      </c>
      <c r="G9" s="20">
        <v>2500</v>
      </c>
      <c r="H9" s="21">
        <v>0.676164705882353</v>
      </c>
      <c r="I9" s="22">
        <v>5</v>
      </c>
      <c r="J9" s="22">
        <v>1107</v>
      </c>
      <c r="K9" s="20"/>
      <c r="L9" s="20">
        <v>25</v>
      </c>
      <c r="M9" s="23">
        <v>2</v>
      </c>
      <c r="N9" s="23">
        <v>2</v>
      </c>
      <c r="O9" s="23">
        <v>34</v>
      </c>
      <c r="P9" s="24">
        <v>1.44</v>
      </c>
      <c r="T9" s="25" t="s">
        <v>25</v>
      </c>
      <c r="U9">
        <f t="shared" si="0"/>
        <v>711.34</v>
      </c>
      <c r="V9">
        <f t="shared" si="1"/>
        <v>10</v>
      </c>
    </row>
    <row r="10" ht="16.5" customHeight="1" spans="1:22">
      <c r="A10" s="16"/>
      <c r="B10" s="20" t="s">
        <v>105</v>
      </c>
      <c r="C10" s="20">
        <v>8.8</v>
      </c>
      <c r="D10" s="20">
        <v>3.9</v>
      </c>
      <c r="E10" s="21">
        <v>0.443181818181818</v>
      </c>
      <c r="F10" s="22">
        <v>889</v>
      </c>
      <c r="G10" s="20">
        <v>2500</v>
      </c>
      <c r="H10" s="21">
        <v>0.648447058823529</v>
      </c>
      <c r="I10" s="22">
        <v>6</v>
      </c>
      <c r="J10" s="22">
        <v>829</v>
      </c>
      <c r="K10" s="20"/>
      <c r="L10" s="20">
        <v>25</v>
      </c>
      <c r="M10" s="23">
        <v>0</v>
      </c>
      <c r="N10" s="23">
        <v>0</v>
      </c>
      <c r="O10" s="23">
        <v>0</v>
      </c>
      <c r="P10" s="24">
        <v>0</v>
      </c>
      <c r="T10" s="25" t="s">
        <v>27</v>
      </c>
      <c r="U10">
        <f t="shared" si="0"/>
        <v>1211.4</v>
      </c>
      <c r="V10">
        <f t="shared" si="1"/>
        <v>2</v>
      </c>
    </row>
    <row r="11" ht="16.5" customHeight="1" spans="1:22">
      <c r="A11" s="16"/>
      <c r="B11" s="20" t="s">
        <v>36</v>
      </c>
      <c r="C11" s="20">
        <v>8.8</v>
      </c>
      <c r="D11" s="20">
        <v>0</v>
      </c>
      <c r="E11" s="21">
        <v>0</v>
      </c>
      <c r="F11" s="22">
        <v>853.95</v>
      </c>
      <c r="G11" s="20">
        <v>2500</v>
      </c>
      <c r="H11" s="21">
        <v>0.622881176470588</v>
      </c>
      <c r="I11" s="22">
        <v>7</v>
      </c>
      <c r="J11" s="22">
        <v>60</v>
      </c>
      <c r="K11" s="20"/>
      <c r="L11" s="20">
        <v>25</v>
      </c>
      <c r="M11" s="23">
        <v>1</v>
      </c>
      <c r="N11" s="23">
        <v>1</v>
      </c>
      <c r="O11" s="23">
        <v>2</v>
      </c>
      <c r="P11" s="24">
        <v>0.12</v>
      </c>
      <c r="T11" s="25" t="s">
        <v>28</v>
      </c>
      <c r="U11">
        <f t="shared" si="0"/>
        <v>1185</v>
      </c>
      <c r="V11">
        <f t="shared" si="1"/>
        <v>3</v>
      </c>
    </row>
    <row r="12" ht="14.25" customHeight="1" spans="1:22">
      <c r="A12" s="16"/>
      <c r="B12" s="20" t="s">
        <v>26</v>
      </c>
      <c r="C12" s="20">
        <v>8.8</v>
      </c>
      <c r="D12" s="20">
        <v>2.9</v>
      </c>
      <c r="E12" s="21">
        <v>0.329545454545455</v>
      </c>
      <c r="F12" s="22">
        <v>740.18</v>
      </c>
      <c r="G12" s="20">
        <v>2500</v>
      </c>
      <c r="H12" s="21">
        <v>0.539896</v>
      </c>
      <c r="I12" s="22">
        <v>8</v>
      </c>
      <c r="J12" s="22">
        <v>599</v>
      </c>
      <c r="K12" s="20"/>
      <c r="L12" s="20">
        <v>25</v>
      </c>
      <c r="M12" s="23">
        <v>0</v>
      </c>
      <c r="N12" s="23">
        <v>0</v>
      </c>
      <c r="O12" s="23">
        <v>0</v>
      </c>
      <c r="P12" s="24">
        <v>0</v>
      </c>
      <c r="T12" s="25" t="s">
        <v>29</v>
      </c>
      <c r="U12">
        <f t="shared" si="0"/>
        <v>1964.76</v>
      </c>
      <c r="V12">
        <f t="shared" si="1"/>
        <v>1</v>
      </c>
    </row>
    <row r="13" ht="16.5" customHeight="1" spans="1:22">
      <c r="A13" s="16"/>
      <c r="B13" s="20" t="s">
        <v>37</v>
      </c>
      <c r="C13" s="20">
        <v>8.8</v>
      </c>
      <c r="D13" s="20">
        <v>3.5</v>
      </c>
      <c r="E13" s="21">
        <v>0.397727272727273</v>
      </c>
      <c r="F13" s="22">
        <v>735</v>
      </c>
      <c r="G13" s="20">
        <v>2500</v>
      </c>
      <c r="H13" s="21">
        <v>0.536117647058823</v>
      </c>
      <c r="I13" s="22">
        <v>9</v>
      </c>
      <c r="J13" s="22">
        <v>636</v>
      </c>
      <c r="K13" s="20"/>
      <c r="L13" s="20">
        <v>25</v>
      </c>
      <c r="M13" s="23">
        <v>1</v>
      </c>
      <c r="N13" s="23">
        <v>1</v>
      </c>
      <c r="O13" s="23">
        <v>2</v>
      </c>
      <c r="P13" s="24">
        <v>0.12</v>
      </c>
      <c r="T13" s="25" t="s">
        <v>32</v>
      </c>
      <c r="U13">
        <f t="shared" si="0"/>
        <v>185</v>
      </c>
      <c r="V13">
        <f t="shared" si="1"/>
        <v>14</v>
      </c>
    </row>
    <row r="14" ht="16.5" customHeight="1" spans="1:22">
      <c r="A14" s="16"/>
      <c r="B14" s="20" t="s">
        <v>25</v>
      </c>
      <c r="C14" s="20">
        <v>8.8</v>
      </c>
      <c r="D14" s="20">
        <v>2</v>
      </c>
      <c r="E14" s="21">
        <v>0.227272727272727</v>
      </c>
      <c r="F14" s="22">
        <v>711.34</v>
      </c>
      <c r="G14" s="20">
        <v>2500</v>
      </c>
      <c r="H14" s="21">
        <v>0.518859764705882</v>
      </c>
      <c r="I14" s="22">
        <v>10</v>
      </c>
      <c r="J14" s="22">
        <v>525</v>
      </c>
      <c r="K14" s="20"/>
      <c r="L14" s="20">
        <v>25</v>
      </c>
      <c r="M14" s="23">
        <v>1</v>
      </c>
      <c r="N14" s="23">
        <v>1</v>
      </c>
      <c r="O14" s="23">
        <v>2</v>
      </c>
      <c r="P14" s="24">
        <v>0.12</v>
      </c>
      <c r="T14" s="25" t="s">
        <v>33</v>
      </c>
      <c r="U14">
        <f t="shared" si="0"/>
        <v>575</v>
      </c>
      <c r="V14">
        <f t="shared" si="1"/>
        <v>12</v>
      </c>
    </row>
    <row r="15" ht="16.5" customHeight="1" spans="1:22">
      <c r="A15" s="16"/>
      <c r="B15" s="20" t="s">
        <v>35</v>
      </c>
      <c r="C15" s="20">
        <v>8.8</v>
      </c>
      <c r="D15" s="20">
        <v>3</v>
      </c>
      <c r="E15" s="21">
        <v>0.340909090909091</v>
      </c>
      <c r="F15" s="22">
        <v>617</v>
      </c>
      <c r="G15" s="20">
        <v>2500</v>
      </c>
      <c r="H15" s="21">
        <v>0.450047058823529</v>
      </c>
      <c r="I15" s="22">
        <v>11</v>
      </c>
      <c r="J15" s="22">
        <v>598</v>
      </c>
      <c r="K15" s="20"/>
      <c r="L15" s="20">
        <v>25</v>
      </c>
      <c r="M15" s="23">
        <v>1</v>
      </c>
      <c r="N15" s="23">
        <v>1</v>
      </c>
      <c r="O15" s="23">
        <v>2</v>
      </c>
      <c r="P15" s="24">
        <v>0.12</v>
      </c>
      <c r="T15" s="25" t="s">
        <v>34</v>
      </c>
      <c r="U15">
        <f t="shared" si="0"/>
        <v>927</v>
      </c>
      <c r="V15">
        <f t="shared" si="1"/>
        <v>5</v>
      </c>
    </row>
    <row r="16" ht="16.5" customHeight="1" spans="1:22">
      <c r="A16" s="16"/>
      <c r="B16" s="20" t="s">
        <v>33</v>
      </c>
      <c r="C16" s="20">
        <v>8.8</v>
      </c>
      <c r="D16" s="20">
        <v>0</v>
      </c>
      <c r="E16" s="21">
        <v>0</v>
      </c>
      <c r="F16" s="22">
        <v>575</v>
      </c>
      <c r="G16" s="20">
        <v>2500</v>
      </c>
      <c r="H16" s="21">
        <v>0.419411764705882</v>
      </c>
      <c r="I16" s="22">
        <v>12</v>
      </c>
      <c r="J16" s="22">
        <v>466</v>
      </c>
      <c r="K16" s="20"/>
      <c r="L16" s="20">
        <v>25</v>
      </c>
      <c r="M16" s="23">
        <v>0</v>
      </c>
      <c r="N16" s="23">
        <v>0</v>
      </c>
      <c r="O16" s="23">
        <v>0</v>
      </c>
      <c r="P16" s="24">
        <v>0</v>
      </c>
      <c r="T16" s="25" t="s">
        <v>35</v>
      </c>
      <c r="U16">
        <f t="shared" si="0"/>
        <v>617</v>
      </c>
      <c r="V16">
        <f t="shared" si="1"/>
        <v>11</v>
      </c>
    </row>
    <row r="17" ht="16.5" customHeight="1" spans="1:22">
      <c r="A17" s="16"/>
      <c r="B17" s="20" t="s">
        <v>24</v>
      </c>
      <c r="C17" s="20">
        <v>8.8</v>
      </c>
      <c r="D17" s="20">
        <v>2</v>
      </c>
      <c r="E17" s="21">
        <v>0.227272727272727</v>
      </c>
      <c r="F17" s="22">
        <v>358</v>
      </c>
      <c r="G17" s="20">
        <v>2500</v>
      </c>
      <c r="H17" s="21">
        <v>0.261129411764706</v>
      </c>
      <c r="I17" s="22">
        <v>13</v>
      </c>
      <c r="J17" s="22">
        <v>348</v>
      </c>
      <c r="K17" s="20" t="s">
        <v>106</v>
      </c>
      <c r="L17" s="20">
        <v>25</v>
      </c>
      <c r="M17" s="23">
        <v>1</v>
      </c>
      <c r="N17" s="23">
        <v>1</v>
      </c>
      <c r="O17" s="23">
        <v>2</v>
      </c>
      <c r="P17" s="24">
        <v>0.12</v>
      </c>
      <c r="T17" s="25" t="s">
        <v>36</v>
      </c>
      <c r="U17">
        <f t="shared" si="0"/>
        <v>853.95</v>
      </c>
      <c r="V17">
        <f t="shared" si="1"/>
        <v>7</v>
      </c>
    </row>
    <row r="18" ht="16.5" customHeight="1" spans="1:22">
      <c r="A18" s="16"/>
      <c r="B18" s="20" t="s">
        <v>32</v>
      </c>
      <c r="C18" s="20">
        <v>8.8</v>
      </c>
      <c r="D18" s="20">
        <v>0</v>
      </c>
      <c r="E18" s="21">
        <v>0</v>
      </c>
      <c r="F18" s="22">
        <v>185</v>
      </c>
      <c r="G18" s="20">
        <v>2500</v>
      </c>
      <c r="H18" s="21">
        <v>0.134941176470588</v>
      </c>
      <c r="I18" s="22">
        <v>14</v>
      </c>
      <c r="J18" s="22">
        <v>185</v>
      </c>
      <c r="K18" s="20" t="s">
        <v>106</v>
      </c>
      <c r="L18" s="20">
        <v>25</v>
      </c>
      <c r="M18" s="23">
        <v>0</v>
      </c>
      <c r="N18" s="23">
        <v>0</v>
      </c>
      <c r="O18" s="23">
        <v>0</v>
      </c>
      <c r="P18" s="24">
        <v>0</v>
      </c>
      <c r="T18" s="25" t="s">
        <v>37</v>
      </c>
      <c r="U18">
        <f t="shared" si="0"/>
        <v>735</v>
      </c>
      <c r="V18">
        <f t="shared" si="1"/>
        <v>9</v>
      </c>
    </row>
    <row r="19" ht="16.5" customHeight="1" spans="1:22">
      <c r="A19" s="16"/>
      <c r="B19" s="20" t="s">
        <v>23</v>
      </c>
      <c r="C19" s="20">
        <v>8.8</v>
      </c>
      <c r="D19" s="20">
        <v>0</v>
      </c>
      <c r="E19" s="21">
        <v>0</v>
      </c>
      <c r="F19" s="22">
        <v>137</v>
      </c>
      <c r="G19" s="20">
        <v>2500</v>
      </c>
      <c r="H19" s="21">
        <v>0.0999294117647059</v>
      </c>
      <c r="I19" s="22">
        <v>15</v>
      </c>
      <c r="J19" s="22">
        <v>67</v>
      </c>
      <c r="K19" s="20" t="s">
        <v>106</v>
      </c>
      <c r="L19" s="20">
        <v>25</v>
      </c>
      <c r="M19" s="23">
        <v>0</v>
      </c>
      <c r="N19" s="23">
        <v>0</v>
      </c>
      <c r="O19" s="23">
        <v>0</v>
      </c>
      <c r="P19" s="24">
        <v>0</v>
      </c>
      <c r="T19" s="25" t="s">
        <v>105</v>
      </c>
      <c r="U19">
        <f t="shared" si="0"/>
        <v>889</v>
      </c>
      <c r="V19">
        <f t="shared" si="1"/>
        <v>6</v>
      </c>
    </row>
    <row r="20" ht="33" customHeight="1" spans="1:22">
      <c r="A20" s="16"/>
      <c r="B20" s="26" t="s">
        <v>107</v>
      </c>
      <c r="C20" s="26">
        <v>61.6</v>
      </c>
      <c r="D20" s="26">
        <v>21.65</v>
      </c>
      <c r="E20" s="27">
        <v>0.351461038961039</v>
      </c>
      <c r="F20" s="28">
        <v>6307.68</v>
      </c>
      <c r="G20" s="26">
        <v>17500</v>
      </c>
      <c r="H20" s="29">
        <v>0.657270857142857</v>
      </c>
      <c r="I20" s="28"/>
      <c r="J20" s="28">
        <v>5118</v>
      </c>
      <c r="K20" s="26"/>
      <c r="L20" s="26">
        <v>175</v>
      </c>
      <c r="M20" s="26">
        <v>6</v>
      </c>
      <c r="N20" s="26">
        <v>6</v>
      </c>
      <c r="O20" s="26">
        <v>17</v>
      </c>
      <c r="P20" s="29">
        <v>0.131428571428571</v>
      </c>
      <c r="T20" s="25" t="s">
        <v>26</v>
      </c>
      <c r="U20">
        <f t="shared" si="0"/>
        <v>740.18</v>
      </c>
      <c r="V20">
        <f t="shared" si="1"/>
        <v>8</v>
      </c>
    </row>
    <row r="21" ht="33" customHeight="1" spans="1:22">
      <c r="A21" s="16"/>
      <c r="B21" s="26" t="s">
        <v>108</v>
      </c>
      <c r="C21" s="26">
        <v>70.4</v>
      </c>
      <c r="D21" s="26">
        <v>22.4</v>
      </c>
      <c r="E21" s="27">
        <v>0.318181818181818</v>
      </c>
      <c r="F21" s="26">
        <v>5768.15</v>
      </c>
      <c r="G21" s="26">
        <v>20000</v>
      </c>
      <c r="H21" s="27">
        <v>0.525919558823529</v>
      </c>
      <c r="I21" s="26"/>
      <c r="J21" s="26">
        <v>4877.2</v>
      </c>
      <c r="K21" s="26"/>
      <c r="L21" s="26">
        <v>200</v>
      </c>
      <c r="M21" s="26">
        <v>6</v>
      </c>
      <c r="N21" s="26">
        <v>7</v>
      </c>
      <c r="O21" s="26">
        <v>56</v>
      </c>
      <c r="P21" s="29">
        <v>0.315</v>
      </c>
      <c r="T21" s="25"/>
    </row>
    <row r="22" ht="16.5" customHeight="1" spans="1:22">
      <c r="A22" s="30"/>
      <c r="B22" s="31" t="s">
        <v>39</v>
      </c>
      <c r="C22" s="32">
        <v>132</v>
      </c>
      <c r="D22" s="32">
        <v>44.05</v>
      </c>
      <c r="E22" s="33">
        <v>0.333712121212121</v>
      </c>
      <c r="F22" s="34">
        <v>12075.83</v>
      </c>
      <c r="G22" s="32">
        <v>37500</v>
      </c>
      <c r="H22" s="33">
        <v>0.587216831372549</v>
      </c>
      <c r="I22" s="35"/>
      <c r="J22" s="31">
        <v>9995.2</v>
      </c>
      <c r="K22" s="20"/>
      <c r="L22" s="20">
        <v>375</v>
      </c>
      <c r="M22" s="23">
        <v>12</v>
      </c>
      <c r="N22" s="23">
        <v>13</v>
      </c>
      <c r="O22" s="23">
        <v>73</v>
      </c>
      <c r="P22" s="33">
        <v>0.229333333333333</v>
      </c>
      <c r="T22" s="25" t="s">
        <v>38</v>
      </c>
      <c r="U22">
        <f>VLOOKUP(T:T,B:F,5,0)</f>
        <v>986.2</v>
      </c>
      <c r="V22">
        <f>RANK(U22,U$7:U$22,0)</f>
        <v>4</v>
      </c>
    </row>
    <row r="23" ht="15" customHeight="1" spans="1:22">
      <c r="A23" s="30"/>
      <c r="B23" s="36" t="s">
        <v>109</v>
      </c>
      <c r="I23" s="37"/>
      <c r="J23" s="38"/>
      <c r="K23" s="38"/>
      <c r="L23" s="38"/>
      <c r="M23" s="38"/>
      <c r="N23" s="38"/>
      <c r="O23" s="38"/>
      <c r="P23" s="39"/>
    </row>
    <row r="24" ht="13.5" customHeight="1" spans="1:22">
      <c r="A24" s="36"/>
      <c r="B24" s="36">
        <v>4</v>
      </c>
      <c r="C24" s="36"/>
      <c r="D24" s="40"/>
      <c r="E24" s="41"/>
      <c r="F24" s="37"/>
      <c r="G24" s="37"/>
      <c r="H24" s="37"/>
      <c r="I24" s="37"/>
      <c r="J24" s="38"/>
      <c r="K24" s="38"/>
      <c r="L24" s="38"/>
      <c r="M24" s="38"/>
      <c r="N24" s="38"/>
      <c r="O24" s="38"/>
      <c r="P24" s="39"/>
    </row>
    <row r="25" ht="16.5" customHeight="1" spans="1:22">
      <c r="A25" s="36"/>
      <c r="B25" s="42" t="s">
        <v>110</v>
      </c>
      <c r="C25" s="43"/>
      <c r="D25" s="43"/>
      <c r="E25" s="43"/>
      <c r="F25" s="43"/>
      <c r="G25" s="44"/>
      <c r="H25" s="37"/>
      <c r="I25" s="37"/>
      <c r="J25" s="38"/>
      <c r="K25" s="38"/>
      <c r="L25" s="38"/>
      <c r="M25" s="38"/>
      <c r="N25" s="38"/>
      <c r="O25" s="38"/>
      <c r="P25" s="39"/>
    </row>
    <row r="26" ht="14.25" customHeight="1" spans="1:22">
      <c r="A26" s="45"/>
      <c r="B26" s="46" t="s">
        <v>5</v>
      </c>
      <c r="C26" s="47" t="s">
        <v>111</v>
      </c>
      <c r="D26" s="47" t="s">
        <v>112</v>
      </c>
      <c r="E26" s="47" t="s">
        <v>113</v>
      </c>
      <c r="F26" s="48" t="s">
        <v>14</v>
      </c>
      <c r="G26" s="47" t="s">
        <v>15</v>
      </c>
      <c r="H26" s="49" t="s">
        <v>114</v>
      </c>
      <c r="I26" s="49"/>
    </row>
    <row r="27" ht="16.5" customHeight="1" spans="1:22">
      <c r="A27" s="50"/>
      <c r="B27" s="51" t="s">
        <v>36</v>
      </c>
      <c r="C27" s="52">
        <v>66</v>
      </c>
      <c r="D27" s="53">
        <v>21</v>
      </c>
      <c r="E27" s="54">
        <v>26</v>
      </c>
      <c r="F27" s="55">
        <v>1.23809523809524</v>
      </c>
      <c r="G27" s="53">
        <v>1</v>
      </c>
      <c r="H27" s="56"/>
      <c r="I27" s="56"/>
    </row>
    <row r="28" ht="16.5" customHeight="1" spans="1:22">
      <c r="A28" s="57"/>
      <c r="B28" s="51" t="s">
        <v>26</v>
      </c>
      <c r="C28" s="52">
        <v>66</v>
      </c>
      <c r="D28" s="53">
        <v>21</v>
      </c>
      <c r="E28" s="54">
        <v>23</v>
      </c>
      <c r="F28" s="55">
        <v>1.0952380952381</v>
      </c>
      <c r="G28" s="53">
        <v>2</v>
      </c>
      <c r="H28" s="56"/>
      <c r="I28" s="56"/>
    </row>
    <row r="29" ht="16.5" customHeight="1" spans="1:22">
      <c r="A29" s="57"/>
      <c r="B29" s="51" t="s">
        <v>27</v>
      </c>
      <c r="C29" s="52">
        <v>66</v>
      </c>
      <c r="D29" s="53">
        <v>21</v>
      </c>
      <c r="E29" s="54">
        <v>23</v>
      </c>
      <c r="F29" s="55">
        <v>1.0952380952381</v>
      </c>
      <c r="G29" s="53">
        <v>3</v>
      </c>
      <c r="H29" s="56"/>
      <c r="I29" s="56"/>
    </row>
    <row r="30" ht="16.5" customHeight="1" spans="1:22">
      <c r="A30" s="57"/>
      <c r="B30" s="51" t="s">
        <v>38</v>
      </c>
      <c r="C30" s="52">
        <v>66</v>
      </c>
      <c r="D30" s="53">
        <v>21</v>
      </c>
      <c r="E30" s="54">
        <v>23</v>
      </c>
      <c r="F30" s="55">
        <v>1.0952380952381</v>
      </c>
      <c r="G30" s="53">
        <v>4</v>
      </c>
      <c r="H30" s="56"/>
      <c r="I30" s="56"/>
    </row>
    <row r="31" ht="16.5" customHeight="1" spans="1:22">
      <c r="A31" s="57"/>
      <c r="B31" s="51" t="s">
        <v>105</v>
      </c>
      <c r="C31" s="52">
        <v>66</v>
      </c>
      <c r="D31" s="53">
        <v>21</v>
      </c>
      <c r="E31" s="54">
        <v>23</v>
      </c>
      <c r="F31" s="55">
        <v>1.0952380952381</v>
      </c>
      <c r="G31" s="53">
        <v>5</v>
      </c>
      <c r="H31" s="56"/>
      <c r="I31" s="56"/>
    </row>
    <row r="32" ht="16.5" customHeight="1" spans="1:22">
      <c r="A32" s="57"/>
      <c r="B32" s="51" t="s">
        <v>24</v>
      </c>
      <c r="C32" s="52">
        <v>66</v>
      </c>
      <c r="D32" s="53">
        <v>21</v>
      </c>
      <c r="E32" s="54">
        <v>22</v>
      </c>
      <c r="F32" s="55">
        <v>1.04761904761905</v>
      </c>
      <c r="G32" s="53">
        <v>6</v>
      </c>
      <c r="H32" s="56"/>
      <c r="I32" s="56"/>
    </row>
    <row r="33" ht="16.5" customHeight="1" spans="1:10">
      <c r="A33" s="57"/>
      <c r="B33" s="51" t="s">
        <v>33</v>
      </c>
      <c r="C33" s="52">
        <v>66</v>
      </c>
      <c r="D33" s="53">
        <v>21</v>
      </c>
      <c r="E33" s="54">
        <v>22</v>
      </c>
      <c r="F33" s="55">
        <v>1.04761904761905</v>
      </c>
      <c r="G33" s="53">
        <v>7</v>
      </c>
      <c r="H33" s="56"/>
      <c r="I33" s="56"/>
    </row>
    <row r="34" ht="16.5" customHeight="1" spans="1:10">
      <c r="A34" s="57"/>
      <c r="B34" s="51" t="s">
        <v>34</v>
      </c>
      <c r="C34" s="52">
        <v>66</v>
      </c>
      <c r="D34" s="53">
        <v>21</v>
      </c>
      <c r="E34" s="54">
        <v>21</v>
      </c>
      <c r="F34" s="55">
        <v>1</v>
      </c>
      <c r="G34" s="53">
        <v>8</v>
      </c>
      <c r="H34" s="56"/>
      <c r="I34" s="56"/>
    </row>
    <row r="35" ht="16.5" customHeight="1" spans="1:10">
      <c r="A35" s="57"/>
      <c r="B35" s="51" t="s">
        <v>23</v>
      </c>
      <c r="C35" s="52">
        <v>66</v>
      </c>
      <c r="D35" s="53">
        <v>21</v>
      </c>
      <c r="E35" s="54">
        <v>21</v>
      </c>
      <c r="F35" s="58">
        <v>1</v>
      </c>
      <c r="G35" s="53">
        <v>9</v>
      </c>
      <c r="H35" s="56"/>
      <c r="I35" s="56"/>
    </row>
    <row r="36" ht="16.5" customHeight="1" spans="1:10">
      <c r="A36" s="57"/>
      <c r="B36" s="51" t="s">
        <v>32</v>
      </c>
      <c r="C36" s="52">
        <v>66</v>
      </c>
      <c r="D36" s="53">
        <v>21</v>
      </c>
      <c r="E36" s="54">
        <v>21</v>
      </c>
      <c r="F36" s="58">
        <v>1</v>
      </c>
      <c r="G36" s="53">
        <v>10</v>
      </c>
      <c r="H36" s="56"/>
      <c r="I36" s="56"/>
    </row>
    <row r="37" ht="16.5" customHeight="1" spans="1:10">
      <c r="A37" s="57"/>
      <c r="B37" s="51" t="s">
        <v>37</v>
      </c>
      <c r="C37" s="52">
        <v>66</v>
      </c>
      <c r="D37" s="53">
        <v>21</v>
      </c>
      <c r="E37" s="54">
        <v>21</v>
      </c>
      <c r="F37" s="58">
        <v>1</v>
      </c>
      <c r="G37" s="53">
        <v>11</v>
      </c>
      <c r="H37" s="56"/>
      <c r="I37" s="56"/>
    </row>
    <row r="38" ht="16.5" customHeight="1" spans="1:10">
      <c r="A38" s="57"/>
      <c r="B38" s="51" t="s">
        <v>25</v>
      </c>
      <c r="C38" s="52">
        <v>66</v>
      </c>
      <c r="D38" s="53">
        <v>21</v>
      </c>
      <c r="E38" s="54">
        <v>21</v>
      </c>
      <c r="F38" s="58">
        <v>1</v>
      </c>
      <c r="G38" s="53">
        <v>12</v>
      </c>
      <c r="H38" s="56"/>
      <c r="I38" s="59"/>
    </row>
    <row r="39" ht="16.5" customHeight="1" spans="1:10">
      <c r="A39" s="57"/>
      <c r="B39" s="51" t="s">
        <v>35</v>
      </c>
      <c r="C39" s="52">
        <v>66</v>
      </c>
      <c r="D39" s="53">
        <v>21</v>
      </c>
      <c r="E39" s="54">
        <v>21</v>
      </c>
      <c r="F39" s="58">
        <v>1</v>
      </c>
      <c r="G39" s="53">
        <v>13</v>
      </c>
      <c r="H39" s="49"/>
      <c r="I39" s="59"/>
    </row>
    <row r="40" ht="16.5" customHeight="1" spans="1:10">
      <c r="A40" s="57"/>
      <c r="B40" s="51" t="s">
        <v>28</v>
      </c>
      <c r="C40" s="52">
        <v>66</v>
      </c>
      <c r="D40" s="53">
        <v>21</v>
      </c>
      <c r="E40" s="54">
        <v>21</v>
      </c>
      <c r="F40" s="58">
        <v>1</v>
      </c>
      <c r="G40" s="53">
        <v>14</v>
      </c>
      <c r="H40" s="56"/>
      <c r="I40" s="56"/>
    </row>
    <row r="41" ht="16.5" customHeight="1" spans="1:10">
      <c r="A41" s="57"/>
      <c r="B41" s="51" t="s">
        <v>29</v>
      </c>
      <c r="C41" s="52">
        <v>66</v>
      </c>
      <c r="D41" s="53">
        <v>21</v>
      </c>
      <c r="E41" s="54">
        <v>18</v>
      </c>
      <c r="F41" s="60">
        <v>0.857142857142857</v>
      </c>
      <c r="G41" s="53">
        <v>15</v>
      </c>
      <c r="H41" s="56"/>
      <c r="I41" s="56"/>
    </row>
    <row r="42" ht="16.5" customHeight="1" spans="1:10">
      <c r="A42" s="57"/>
      <c r="B42" s="61" t="s">
        <v>39</v>
      </c>
      <c r="C42" s="62">
        <v>990</v>
      </c>
      <c r="D42" s="53">
        <v>315</v>
      </c>
      <c r="E42" s="62">
        <v>327</v>
      </c>
      <c r="F42" s="55">
        <v>1.03809523809524</v>
      </c>
      <c r="G42" s="53"/>
      <c r="H42" s="56"/>
      <c r="I42" s="56"/>
    </row>
    <row r="43" spans="1:10">
      <c r="A43" s="63"/>
      <c r="B43" s="64"/>
      <c r="H43" s="65"/>
      <c r="I43" s="56"/>
    </row>
    <row r="44" ht="13.5" customHeight="1" spans="1:10">
      <c r="A44" s="64"/>
      <c r="B44" s="64"/>
      <c r="C44" s="64"/>
      <c r="D44" s="64"/>
      <c r="E44" s="64"/>
      <c r="F44" s="56"/>
      <c r="G44" s="65"/>
      <c r="H44" s="65"/>
      <c r="I44" s="56"/>
    </row>
    <row r="45" spans="1:10">
      <c r="A45" s="64"/>
      <c r="B45" s="63"/>
      <c r="C45" s="66"/>
      <c r="D45" s="67"/>
      <c r="E45" s="68"/>
      <c r="F45" s="56"/>
      <c r="G45" s="65"/>
      <c r="H45" s="56"/>
      <c r="I45" s="56"/>
    </row>
    <row r="46" spans="1:10">
      <c r="A46" s="63"/>
      <c r="B46" s="69"/>
      <c r="C46" s="70"/>
      <c r="D46" s="70"/>
      <c r="E46" s="70"/>
      <c r="F46" s="70"/>
      <c r="G46" s="70"/>
      <c r="H46" s="70"/>
      <c r="I46" s="70"/>
    </row>
    <row r="47" ht="13.5" customHeight="1" spans="1:10">
      <c r="A47" s="71" t="s">
        <v>52</v>
      </c>
      <c r="B47" s="72" t="s">
        <v>5</v>
      </c>
      <c r="C47" s="70" t="s">
        <v>53</v>
      </c>
      <c r="D47" s="43"/>
      <c r="E47" s="44"/>
      <c r="F47" s="70" t="s">
        <v>54</v>
      </c>
      <c r="G47" s="43"/>
      <c r="H47" s="43"/>
      <c r="I47" s="44"/>
    </row>
    <row r="48" ht="13.5" customHeight="1" spans="1:10">
      <c r="A48" s="71" t="s">
        <v>0</v>
      </c>
      <c r="B48" s="73"/>
      <c r="C48" s="74" t="s">
        <v>55</v>
      </c>
      <c r="D48" s="74" t="s">
        <v>56</v>
      </c>
      <c r="E48" s="74" t="s">
        <v>57</v>
      </c>
      <c r="F48" s="74" t="s">
        <v>58</v>
      </c>
      <c r="G48" s="75" t="s">
        <v>59</v>
      </c>
      <c r="H48" s="75" t="s">
        <v>60</v>
      </c>
      <c r="I48" s="75" t="s">
        <v>14</v>
      </c>
      <c r="J48" s="49" t="s">
        <v>61</v>
      </c>
    </row>
    <row r="49" spans="1:9">
      <c r="B49" s="76"/>
      <c r="C49" s="77"/>
      <c r="D49" s="77"/>
      <c r="E49" s="78"/>
      <c r="F49" s="79"/>
      <c r="G49" s="79"/>
      <c r="H49" s="79"/>
      <c r="I49" s="80"/>
    </row>
    <row r="50" ht="13.5" customHeight="1" spans="1:9">
      <c r="A50" s="50" t="s">
        <v>62</v>
      </c>
      <c r="B50" s="76"/>
      <c r="C50" s="77"/>
      <c r="D50" s="77"/>
      <c r="E50" s="78"/>
      <c r="F50" s="79"/>
      <c r="G50" s="79"/>
      <c r="H50" s="79"/>
      <c r="I50" s="80"/>
    </row>
    <row r="51" spans="1:9">
      <c r="B51" s="76"/>
      <c r="C51" s="77"/>
      <c r="D51" s="77"/>
      <c r="E51" s="78"/>
      <c r="F51" s="79"/>
      <c r="G51" s="79"/>
      <c r="H51" s="79"/>
      <c r="I51" s="80"/>
    </row>
    <row r="52" spans="1:9">
      <c r="B52" s="76"/>
      <c r="C52" s="77"/>
      <c r="D52" s="77"/>
      <c r="E52" s="78"/>
      <c r="F52" s="79"/>
      <c r="G52" s="79"/>
      <c r="H52" s="79"/>
      <c r="I52" s="80"/>
    </row>
    <row r="53" spans="1:9">
      <c r="B53" s="76"/>
      <c r="C53" s="77"/>
      <c r="D53" s="77"/>
      <c r="E53" s="78"/>
      <c r="F53" s="79"/>
      <c r="G53" s="79"/>
      <c r="H53" s="79"/>
      <c r="I53" s="80"/>
    </row>
    <row r="54" spans="1:9">
      <c r="B54" s="76"/>
      <c r="C54" s="77"/>
      <c r="D54" s="77"/>
      <c r="E54" s="78"/>
      <c r="F54" s="79"/>
      <c r="G54" s="79"/>
      <c r="H54" s="79"/>
      <c r="I54" s="80"/>
    </row>
    <row r="55" spans="1:9">
      <c r="B55" s="76"/>
      <c r="C55" s="77"/>
      <c r="D55" s="77"/>
      <c r="E55" s="78"/>
      <c r="F55" s="79"/>
      <c r="G55" s="79"/>
      <c r="H55" s="79"/>
      <c r="I55" s="80"/>
    </row>
    <row r="56" spans="1:9">
      <c r="B56" s="81" t="s">
        <v>30</v>
      </c>
      <c r="C56" s="82"/>
      <c r="D56" s="82"/>
      <c r="E56" s="83"/>
      <c r="F56" s="82"/>
      <c r="G56" s="82"/>
      <c r="H56" s="82"/>
      <c r="I56" s="83"/>
    </row>
    <row r="57" spans="1:9">
      <c r="B57" s="76"/>
      <c r="C57" s="77"/>
      <c r="D57" s="77"/>
      <c r="E57" s="78"/>
      <c r="F57" s="79"/>
      <c r="G57" s="79"/>
      <c r="H57" s="79"/>
      <c r="I57" s="80"/>
    </row>
    <row r="58" ht="13.5" customHeight="1" spans="1:9">
      <c r="A58" s="50" t="s">
        <v>70</v>
      </c>
      <c r="B58" s="76"/>
      <c r="C58" s="77"/>
      <c r="D58" s="77"/>
      <c r="E58" s="78"/>
      <c r="F58" s="79"/>
      <c r="G58" s="79"/>
      <c r="H58" s="79"/>
      <c r="I58" s="80"/>
    </row>
    <row r="59" spans="1:9">
      <c r="B59" s="76"/>
      <c r="C59" s="77"/>
      <c r="D59" s="77"/>
      <c r="E59" s="78"/>
      <c r="F59" s="79"/>
      <c r="G59" s="79"/>
      <c r="H59" s="79"/>
      <c r="I59" s="80"/>
    </row>
    <row r="60" spans="1:9">
      <c r="B60" s="76"/>
      <c r="C60" s="77"/>
      <c r="D60" s="77"/>
      <c r="E60" s="78"/>
      <c r="F60" s="79"/>
      <c r="G60" s="79"/>
      <c r="H60" s="79"/>
      <c r="I60" s="80"/>
    </row>
    <row r="61" spans="1:9">
      <c r="B61" s="76"/>
      <c r="C61" s="77"/>
      <c r="D61" s="77"/>
      <c r="E61" s="78"/>
      <c r="F61" s="79"/>
      <c r="G61" s="79"/>
      <c r="H61" s="79"/>
      <c r="I61" s="80"/>
    </row>
    <row r="62" spans="1:9">
      <c r="B62" s="76"/>
      <c r="C62" s="77"/>
      <c r="D62" s="77"/>
      <c r="E62" s="78"/>
      <c r="F62" s="79"/>
      <c r="G62" s="79"/>
      <c r="H62" s="79"/>
      <c r="I62" s="80"/>
    </row>
    <row r="63" spans="1:9">
      <c r="B63" s="76"/>
      <c r="C63" s="77"/>
      <c r="D63" s="77"/>
      <c r="E63" s="78"/>
      <c r="F63" s="79"/>
      <c r="G63" s="79"/>
      <c r="H63" s="79"/>
      <c r="I63" s="80"/>
    </row>
    <row r="64" spans="1:9">
      <c r="B64" s="76"/>
      <c r="C64" s="77"/>
      <c r="D64" s="77"/>
      <c r="E64" s="78"/>
      <c r="F64" s="79"/>
      <c r="G64" s="79"/>
      <c r="H64" s="79"/>
      <c r="I64" s="80"/>
    </row>
    <row r="65" spans="1:10">
      <c r="B65" s="81" t="s">
        <v>30</v>
      </c>
      <c r="C65" s="82"/>
      <c r="D65" s="82"/>
      <c r="E65" s="83"/>
      <c r="F65" s="82"/>
      <c r="G65" s="82"/>
      <c r="H65" s="82"/>
      <c r="I65" s="83"/>
    </row>
    <row r="66" spans="1:10">
      <c r="B66" s="84"/>
      <c r="C66" s="82"/>
      <c r="D66" s="82"/>
      <c r="E66" s="83"/>
      <c r="F66" s="82"/>
      <c r="G66" s="82"/>
      <c r="H66" s="82"/>
      <c r="I66" s="83"/>
    </row>
    <row r="67" ht="13.5" customHeight="1" spans="1:10">
      <c r="A67" s="50" t="s">
        <v>39</v>
      </c>
      <c r="B67" s="85"/>
      <c r="C67" s="85"/>
      <c r="D67" s="85"/>
      <c r="E67" s="85"/>
      <c r="F67" s="85"/>
      <c r="G67" s="85"/>
      <c r="H67" s="86"/>
      <c r="I67" s="86"/>
    </row>
    <row r="68" ht="13.5" customHeight="1" spans="1:10">
      <c r="A68" s="85" t="s">
        <v>78</v>
      </c>
      <c r="B68" s="65"/>
      <c r="C68" s="65"/>
      <c r="D68" s="65"/>
      <c r="E68" s="65"/>
      <c r="F68" s="65"/>
      <c r="G68" s="65"/>
      <c r="H68" s="65"/>
      <c r="I68" s="65"/>
    </row>
    <row r="69" spans="1:10">
      <c r="A69" s="65"/>
      <c r="B69" s="72"/>
      <c r="C69" s="75"/>
      <c r="D69" s="75"/>
      <c r="E69" s="75"/>
      <c r="F69" s="75"/>
      <c r="G69" s="75"/>
      <c r="H69" s="75"/>
      <c r="I69" s="75"/>
    </row>
    <row r="70" ht="13.5" customHeight="1" spans="1:10">
      <c r="A70" s="50" t="s">
        <v>79</v>
      </c>
      <c r="B70" s="72" t="s">
        <v>5</v>
      </c>
      <c r="C70" s="75" t="s">
        <v>80</v>
      </c>
      <c r="D70" s="75" t="s">
        <v>81</v>
      </c>
      <c r="E70" s="75" t="s">
        <v>82</v>
      </c>
      <c r="F70" s="75" t="s">
        <v>83</v>
      </c>
      <c r="G70" s="75" t="s">
        <v>84</v>
      </c>
      <c r="H70" s="75" t="s">
        <v>85</v>
      </c>
      <c r="I70" s="75" t="s">
        <v>86</v>
      </c>
      <c r="J70" t="s">
        <v>87</v>
      </c>
    </row>
    <row r="71" spans="1:10">
      <c r="A71" s="71" t="s">
        <v>0</v>
      </c>
      <c r="B71" s="87"/>
      <c r="C71" s="79"/>
      <c r="D71" s="79"/>
      <c r="E71" s="80"/>
      <c r="F71" s="79"/>
      <c r="G71" s="80"/>
      <c r="H71" s="79"/>
      <c r="I71" s="79"/>
    </row>
    <row r="72" ht="13.5" customHeight="1" spans="1:10">
      <c r="A72" s="50" t="s">
        <v>62</v>
      </c>
      <c r="B72" s="87"/>
      <c r="C72" s="79"/>
      <c r="D72" s="79"/>
      <c r="E72" s="80"/>
      <c r="F72" s="79"/>
      <c r="G72" s="80"/>
      <c r="H72" s="79"/>
      <c r="I72" s="79"/>
    </row>
    <row r="73" spans="1:10">
      <c r="B73" s="87"/>
      <c r="C73" s="79"/>
      <c r="D73" s="79"/>
      <c r="E73" s="80"/>
      <c r="F73" s="79"/>
      <c r="G73" s="80"/>
      <c r="H73" s="79"/>
      <c r="I73" s="79"/>
    </row>
    <row r="74" spans="1:10">
      <c r="B74" s="87"/>
      <c r="C74" s="79"/>
      <c r="D74" s="79"/>
      <c r="E74" s="80"/>
      <c r="F74" s="79"/>
      <c r="G74" s="80"/>
      <c r="H74" s="79"/>
      <c r="I74" s="79"/>
    </row>
    <row r="75" spans="1:10">
      <c r="B75" s="81" t="s">
        <v>30</v>
      </c>
      <c r="C75" s="82"/>
      <c r="D75" s="82"/>
      <c r="E75" s="83"/>
      <c r="F75" s="82"/>
      <c r="G75" s="83"/>
      <c r="H75" s="82"/>
      <c r="I75" s="82"/>
    </row>
    <row r="76" spans="1:10">
      <c r="B76" s="87"/>
      <c r="C76" s="79"/>
      <c r="D76" s="79"/>
      <c r="E76" s="80"/>
      <c r="F76" s="79"/>
      <c r="G76" s="80"/>
      <c r="H76" s="79"/>
      <c r="I76" s="79"/>
    </row>
    <row r="77" ht="13.5" customHeight="1" spans="1:10">
      <c r="A77" s="50" t="s">
        <v>70</v>
      </c>
      <c r="B77" s="87"/>
      <c r="C77" s="79"/>
      <c r="D77" s="79"/>
      <c r="E77" s="80"/>
      <c r="F77" s="79"/>
      <c r="G77" s="80"/>
      <c r="H77" s="79"/>
      <c r="I77" s="79"/>
    </row>
    <row r="78" spans="1:10">
      <c r="B78" s="87"/>
      <c r="C78" s="79"/>
      <c r="D78" s="79"/>
      <c r="E78" s="80"/>
      <c r="F78" s="79"/>
      <c r="G78" s="80"/>
      <c r="H78" s="79"/>
      <c r="I78" s="79"/>
    </row>
    <row r="79" spans="1:10">
      <c r="B79" s="87"/>
      <c r="C79" s="79"/>
      <c r="D79" s="79"/>
      <c r="E79" s="80"/>
      <c r="F79" s="79"/>
      <c r="G79" s="80"/>
      <c r="H79" s="79"/>
      <c r="I79" s="79"/>
    </row>
    <row r="80" spans="1:10">
      <c r="B80" s="87"/>
      <c r="C80" s="79"/>
      <c r="D80" s="79"/>
      <c r="E80" s="80"/>
      <c r="F80" s="79"/>
      <c r="G80" s="80"/>
      <c r="H80" s="79"/>
      <c r="I80" s="79"/>
    </row>
    <row r="81" spans="1:9">
      <c r="B81" s="81" t="s">
        <v>30</v>
      </c>
      <c r="C81" s="82"/>
      <c r="D81" s="82"/>
      <c r="E81" s="83"/>
      <c r="F81" s="82"/>
      <c r="G81" s="83"/>
      <c r="H81" s="82"/>
      <c r="I81" s="82"/>
    </row>
    <row r="82" spans="1:9">
      <c r="B82" s="81"/>
      <c r="C82" s="82"/>
      <c r="D82" s="82"/>
      <c r="E82" s="83"/>
      <c r="F82" s="82"/>
      <c r="G82" s="83"/>
      <c r="H82" s="82"/>
      <c r="I82" s="82"/>
    </row>
    <row r="83" ht="13.5" customHeight="1" spans="1:9">
      <c r="A83" s="71" t="s">
        <v>88</v>
      </c>
      <c r="B83" s="56"/>
      <c r="C83" s="56"/>
      <c r="D83" s="56"/>
      <c r="E83" s="56"/>
      <c r="F83" s="56"/>
      <c r="G83" s="56"/>
      <c r="H83" s="56"/>
      <c r="I83" s="56"/>
    </row>
    <row r="84" spans="1:9">
      <c r="A84" s="56"/>
      <c r="B84" s="56"/>
      <c r="C84" s="56"/>
      <c r="D84" s="56"/>
      <c r="E84" s="56"/>
      <c r="F84" s="56"/>
      <c r="G84" s="56"/>
      <c r="H84" s="56"/>
      <c r="I84" s="56"/>
    </row>
    <row r="85" spans="1:9">
      <c r="A85" s="56"/>
      <c r="B85" s="72"/>
      <c r="C85" s="75"/>
      <c r="D85" s="75"/>
      <c r="E85" s="75"/>
      <c r="F85" s="75"/>
      <c r="G85" s="75"/>
      <c r="H85" s="75"/>
      <c r="I85" s="75"/>
    </row>
    <row r="86" ht="13.5" customHeight="1" spans="1:9">
      <c r="A86" s="50" t="s">
        <v>89</v>
      </c>
      <c r="B86" s="72" t="s">
        <v>5</v>
      </c>
      <c r="C86" s="75" t="s">
        <v>80</v>
      </c>
      <c r="D86" s="75" t="s">
        <v>81</v>
      </c>
      <c r="E86" s="75" t="s">
        <v>82</v>
      </c>
      <c r="F86" s="75" t="s">
        <v>83</v>
      </c>
      <c r="G86" s="75" t="s">
        <v>84</v>
      </c>
      <c r="H86" s="75" t="s">
        <v>85</v>
      </c>
      <c r="I86" s="75" t="s">
        <v>86</v>
      </c>
    </row>
    <row r="87" spans="1:9">
      <c r="A87" s="71" t="s">
        <v>0</v>
      </c>
      <c r="B87" s="88"/>
      <c r="C87" s="77"/>
      <c r="D87" s="79"/>
      <c r="E87" s="80"/>
      <c r="F87" s="79"/>
      <c r="G87" s="80"/>
      <c r="H87" s="79"/>
      <c r="I87" s="79"/>
    </row>
    <row r="88" ht="13.5" customHeight="1" spans="1:9">
      <c r="A88" s="50" t="s">
        <v>62</v>
      </c>
      <c r="B88" s="88"/>
      <c r="C88" s="77"/>
      <c r="D88" s="79"/>
      <c r="E88" s="80"/>
      <c r="F88" s="79"/>
      <c r="G88" s="80"/>
      <c r="H88" s="79"/>
      <c r="I88" s="79"/>
    </row>
    <row r="89" spans="1:9">
      <c r="B89" s="88"/>
      <c r="C89" s="77"/>
      <c r="D89" s="79"/>
      <c r="E89" s="80"/>
      <c r="F89" s="79"/>
      <c r="G89" s="80"/>
      <c r="H89" s="79"/>
      <c r="I89" s="79"/>
    </row>
    <row r="90" spans="1:9">
      <c r="B90" s="88"/>
      <c r="C90" s="77"/>
      <c r="D90" s="79"/>
      <c r="E90" s="80"/>
      <c r="F90" s="79"/>
      <c r="G90" s="80"/>
      <c r="H90" s="79"/>
      <c r="I90" s="79"/>
    </row>
    <row r="91" spans="1:9">
      <c r="B91" s="84" t="s">
        <v>30</v>
      </c>
      <c r="C91" s="82"/>
      <c r="D91" s="82"/>
      <c r="E91" s="83"/>
      <c r="F91" s="82"/>
      <c r="G91" s="83"/>
      <c r="H91" s="82"/>
      <c r="I91" s="82"/>
    </row>
    <row r="92" spans="1:9">
      <c r="B92" s="88"/>
      <c r="C92" s="77"/>
      <c r="D92" s="79"/>
      <c r="E92" s="80"/>
      <c r="F92" s="79"/>
      <c r="G92" s="80"/>
      <c r="H92" s="79"/>
      <c r="I92" s="79"/>
    </row>
    <row r="93" ht="13.5" customHeight="1" spans="1:9">
      <c r="A93" s="50" t="s">
        <v>70</v>
      </c>
      <c r="B93" s="88"/>
      <c r="C93" s="77"/>
      <c r="D93" s="79"/>
      <c r="E93" s="80"/>
      <c r="F93" s="79"/>
      <c r="G93" s="80"/>
      <c r="H93" s="79"/>
      <c r="I93" s="79"/>
    </row>
    <row r="94" spans="1:9">
      <c r="B94" s="84" t="s">
        <v>30</v>
      </c>
      <c r="C94" s="82"/>
      <c r="D94" s="82"/>
      <c r="E94" s="83"/>
      <c r="F94" s="82"/>
      <c r="G94" s="83"/>
      <c r="H94" s="82"/>
      <c r="I94" s="82"/>
    </row>
    <row r="95" spans="1:9">
      <c r="B95" s="81"/>
      <c r="C95" s="82"/>
      <c r="D95" s="82"/>
      <c r="E95" s="83"/>
      <c r="F95" s="82"/>
      <c r="G95" s="83"/>
      <c r="H95" s="82"/>
      <c r="I95" s="89"/>
    </row>
    <row r="96" ht="13.5" customHeight="1" spans="1:9">
      <c r="A96" s="71" t="s">
        <v>88</v>
      </c>
      <c r="B96" s="90"/>
      <c r="C96" s="90"/>
      <c r="D96" s="90"/>
      <c r="E96" s="56"/>
      <c r="F96" s="56"/>
      <c r="G96" s="56"/>
      <c r="H96" s="56"/>
      <c r="I96" s="56"/>
    </row>
    <row r="97" ht="13.5" customHeight="1" spans="1:9">
      <c r="A97" s="90" t="s">
        <v>90</v>
      </c>
      <c r="B97" s="56"/>
      <c r="C97" s="56"/>
      <c r="D97" s="56"/>
      <c r="E97" s="56"/>
      <c r="F97" s="56"/>
      <c r="G97" s="56"/>
      <c r="H97" s="56"/>
      <c r="I97" s="56"/>
    </row>
    <row r="98" spans="1:9">
      <c r="A98" s="56"/>
      <c r="B98" s="49"/>
      <c r="C98" s="56"/>
      <c r="D98" s="56"/>
      <c r="E98" s="56"/>
      <c r="F98" s="56"/>
      <c r="G98" s="56"/>
      <c r="H98" s="56"/>
      <c r="I98" s="56"/>
    </row>
    <row r="99" spans="1:9">
      <c r="A99" s="49"/>
      <c r="B99" s="91"/>
      <c r="C99" s="74"/>
      <c r="D99" s="74"/>
      <c r="E99" s="74"/>
      <c r="F99" s="74"/>
      <c r="G99" s="74"/>
      <c r="H99" s="74"/>
      <c r="I99" s="56"/>
    </row>
    <row r="100" ht="13.5" customHeight="1" spans="1:9">
      <c r="A100" s="71" t="s">
        <v>91</v>
      </c>
      <c r="B100" s="92" t="s">
        <v>92</v>
      </c>
      <c r="C100" s="93" t="s">
        <v>5</v>
      </c>
      <c r="D100" s="94" t="s">
        <v>93</v>
      </c>
      <c r="E100" s="93" t="s">
        <v>94</v>
      </c>
      <c r="F100" s="94" t="s">
        <v>95</v>
      </c>
      <c r="G100" s="94" t="s">
        <v>96</v>
      </c>
      <c r="H100" s="93" t="s">
        <v>97</v>
      </c>
      <c r="I100" s="56"/>
    </row>
    <row r="101" spans="1:9">
      <c r="A101" s="71" t="s">
        <v>0</v>
      </c>
      <c r="B101" s="95"/>
      <c r="C101" s="77"/>
      <c r="D101" s="77"/>
      <c r="E101" s="77"/>
      <c r="F101" s="77"/>
      <c r="G101" s="77"/>
      <c r="H101" s="77"/>
      <c r="I101" s="49"/>
    </row>
    <row r="102" ht="13.5" customHeight="1" spans="1:9">
      <c r="A102" s="50" t="s">
        <v>62</v>
      </c>
      <c r="B102" s="95"/>
      <c r="C102" s="77"/>
      <c r="D102" s="77"/>
      <c r="E102" s="77"/>
      <c r="F102" s="77"/>
      <c r="G102" s="77"/>
      <c r="H102" s="77"/>
      <c r="I102" s="49"/>
    </row>
    <row r="103" spans="1:9">
      <c r="B103" s="95"/>
      <c r="C103" s="77"/>
      <c r="D103" s="77"/>
      <c r="E103" s="77"/>
      <c r="F103" s="77"/>
      <c r="G103" s="77"/>
      <c r="H103" s="77"/>
      <c r="I103" s="56"/>
    </row>
    <row r="104" spans="1:9">
      <c r="A104" s="50" t="s">
        <v>70</v>
      </c>
      <c r="B104" s="96" t="s">
        <v>98</v>
      </c>
      <c r="C104" s="49"/>
      <c r="D104" s="49"/>
      <c r="E104" s="49"/>
      <c r="F104" s="96"/>
      <c r="G104" s="49"/>
      <c r="H104" s="49"/>
      <c r="I104" s="56"/>
    </row>
    <row r="105" spans="1:9">
      <c r="A105" s="56"/>
      <c r="B105" s="56"/>
      <c r="C105" s="56"/>
      <c r="D105" s="56"/>
      <c r="E105" s="56"/>
      <c r="F105" s="56"/>
      <c r="G105" s="56"/>
      <c r="H105" s="56"/>
      <c r="I105" s="56"/>
    </row>
    <row r="106" spans="1:9">
      <c r="A106" s="56"/>
    </row>
  </sheetData>
  <mergeCells count="20">
    <mergeCell ref="B1:P1"/>
    <mergeCell ref="B2:P2"/>
    <mergeCell ref="B3:E3"/>
    <mergeCell ref="F3:K3"/>
    <mergeCell ref="L3:P3"/>
    <mergeCell ref="Q4:Z4"/>
    <mergeCell ref="B23:H23"/>
    <mergeCell ref="B25:G25"/>
    <mergeCell ref="B43:G43"/>
    <mergeCell ref="C47:E47"/>
    <mergeCell ref="F47:I47"/>
    <mergeCell ref="A48:A49"/>
    <mergeCell ref="A50:A57"/>
    <mergeCell ref="A58:A66"/>
    <mergeCell ref="A72:A76"/>
    <mergeCell ref="A77:A82"/>
    <mergeCell ref="A88:A92"/>
    <mergeCell ref="A93:A95"/>
    <mergeCell ref="A102:A103"/>
    <mergeCell ref="B47:B48"/>
  </mergeCells>
  <pageMargins left="0.75" right="0.75" top="1" bottom="1" header="0.5" footer="0.5"/>
  <pageSetup paperSize="9" scale="44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6"/>
  <sheetViews>
    <sheetView workbookViewId="0">
      <selection activeCell="A1" sqref="A1"/>
    </sheetView>
  </sheetViews>
  <sheetFormatPr defaultColWidth="9" defaultRowHeight="14" outlineLevelCol="1"/>
  <sheetData>
    <row r="1" spans="1:2">
      <c r="A1" s="1" t="s">
        <v>48</v>
      </c>
      <c r="B1" s="1" t="s">
        <v>19</v>
      </c>
    </row>
    <row r="2" spans="1:2">
      <c r="A2" t="s">
        <v>23</v>
      </c>
      <c r="B2">
        <v>0</v>
      </c>
    </row>
    <row r="3" spans="1:2">
      <c r="A3" t="s">
        <v>24</v>
      </c>
      <c r="B3">
        <v>0</v>
      </c>
    </row>
    <row r="4" spans="1:2">
      <c r="A4" t="s">
        <v>25</v>
      </c>
      <c r="B4">
        <v>0</v>
      </c>
    </row>
    <row r="5" spans="1:2">
      <c r="A5" t="s">
        <v>26</v>
      </c>
      <c r="B5">
        <v>0</v>
      </c>
    </row>
    <row r="6" spans="1:2">
      <c r="A6" t="s">
        <v>27</v>
      </c>
      <c r="B6">
        <v>6</v>
      </c>
    </row>
    <row r="7" spans="1:2">
      <c r="A7" t="s">
        <v>28</v>
      </c>
      <c r="B7">
        <v>3</v>
      </c>
    </row>
    <row r="8" spans="1:2">
      <c r="A8" t="s">
        <v>29</v>
      </c>
      <c r="B8">
        <v>6</v>
      </c>
    </row>
    <row r="9" spans="1:2">
      <c r="A9" t="s">
        <v>32</v>
      </c>
      <c r="B9">
        <v>0</v>
      </c>
    </row>
    <row r="10" spans="1:2">
      <c r="A10" t="s">
        <v>33</v>
      </c>
      <c r="B10">
        <v>11</v>
      </c>
    </row>
    <row r="11" spans="1:2">
      <c r="A11" t="s">
        <v>34</v>
      </c>
      <c r="B11">
        <v>0</v>
      </c>
    </row>
    <row r="12" spans="1:2">
      <c r="A12" t="s">
        <v>35</v>
      </c>
      <c r="B12">
        <v>0</v>
      </c>
    </row>
    <row r="13" spans="1:2">
      <c r="A13" t="s">
        <v>36</v>
      </c>
      <c r="B13">
        <v>14</v>
      </c>
    </row>
    <row r="14" spans="1:2">
      <c r="A14" t="s">
        <v>37</v>
      </c>
      <c r="B14">
        <v>5</v>
      </c>
    </row>
    <row r="15" spans="1:2">
      <c r="A15" t="s">
        <v>38</v>
      </c>
      <c r="B15">
        <v>25</v>
      </c>
    </row>
    <row r="16" spans="1:2">
      <c r="A16" t="s">
        <v>41</v>
      </c>
      <c r="B16">
        <v>214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"/>
  <sheetViews>
    <sheetView workbookViewId="0">
      <selection activeCell="A1" sqref="A1"/>
    </sheetView>
  </sheetViews>
  <sheetFormatPr defaultColWidth="9" defaultRowHeight="14" outlineLevelCol="1"/>
  <sheetData>
    <row r="1" spans="1:2">
      <c r="A1" s="1" t="s">
        <v>48</v>
      </c>
      <c r="B1" s="1" t="s">
        <v>115</v>
      </c>
    </row>
    <row r="2" spans="1:2">
      <c r="A2" t="s">
        <v>23</v>
      </c>
      <c r="B2">
        <v>0.5</v>
      </c>
    </row>
    <row r="3" spans="1:2">
      <c r="A3" t="s">
        <v>24</v>
      </c>
      <c r="B3">
        <v>3.5</v>
      </c>
    </row>
    <row r="4" spans="1:2">
      <c r="A4" t="s">
        <v>25</v>
      </c>
      <c r="B4">
        <v>0</v>
      </c>
    </row>
    <row r="5" spans="1:2">
      <c r="A5" t="s">
        <v>26</v>
      </c>
      <c r="B5">
        <v>3.5</v>
      </c>
    </row>
    <row r="6" spans="1:2">
      <c r="A6" t="s">
        <v>27</v>
      </c>
      <c r="B6">
        <v>13.5</v>
      </c>
    </row>
    <row r="7" spans="1:2">
      <c r="A7" t="s">
        <v>28</v>
      </c>
      <c r="B7">
        <v>2.5</v>
      </c>
    </row>
    <row r="8" spans="1:2">
      <c r="A8" t="s">
        <v>29</v>
      </c>
      <c r="B8">
        <v>4.03</v>
      </c>
    </row>
    <row r="9" spans="1:2">
      <c r="A9" t="s">
        <v>32</v>
      </c>
      <c r="B9">
        <v>0</v>
      </c>
    </row>
    <row r="10" spans="1:2">
      <c r="A10" t="s">
        <v>33</v>
      </c>
      <c r="B10">
        <v>9.75</v>
      </c>
    </row>
    <row r="11" spans="1:2">
      <c r="A11" t="s">
        <v>34</v>
      </c>
      <c r="B11">
        <v>3</v>
      </c>
    </row>
    <row r="12" spans="1:2">
      <c r="A12" t="s">
        <v>35</v>
      </c>
      <c r="B12">
        <v>5</v>
      </c>
    </row>
    <row r="13" spans="1:2">
      <c r="A13" t="s">
        <v>36</v>
      </c>
      <c r="B13">
        <v>11</v>
      </c>
    </row>
    <row r="14" spans="1:2">
      <c r="A14" t="s">
        <v>37</v>
      </c>
      <c r="B14">
        <v>3.5</v>
      </c>
    </row>
    <row r="15" spans="1:2">
      <c r="A15" t="s">
        <v>38</v>
      </c>
      <c r="B15">
        <v>19.73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9"/>
  <sheetViews>
    <sheetView workbookViewId="0">
      <selection activeCell="A28" sqref="A28"/>
    </sheetView>
  </sheetViews>
  <sheetFormatPr defaultColWidth="8.72727272727273" defaultRowHeight="14" outlineLevelCol="2"/>
  <cols>
    <col min="1" max="1" width="68.6363636363636" style="3" customWidth="1"/>
  </cols>
  <sheetData>
    <row r="1" spans="1:3">
      <c r="A1" t="s">
        <v>116</v>
      </c>
      <c r="B1" t="s">
        <v>117</v>
      </c>
      <c r="C1" t="s">
        <v>118</v>
      </c>
    </row>
    <row r="2" spans="1:3">
      <c r="A2" t="s">
        <v>119</v>
      </c>
      <c r="B2">
        <v>1</v>
      </c>
      <c r="C2">
        <v>1</v>
      </c>
    </row>
    <row r="3" spans="1:3">
      <c r="A3" t="s">
        <v>120</v>
      </c>
      <c r="B3">
        <v>1</v>
      </c>
      <c r="C3">
        <v>2</v>
      </c>
    </row>
    <row r="4" spans="1:3">
      <c r="A4" t="s">
        <v>121</v>
      </c>
      <c r="B4">
        <v>1</v>
      </c>
      <c r="C4">
        <v>2</v>
      </c>
    </row>
    <row r="5" spans="1:3">
      <c r="A5" t="s">
        <v>122</v>
      </c>
      <c r="B5">
        <v>1</v>
      </c>
      <c r="C5">
        <v>3</v>
      </c>
    </row>
    <row r="6" spans="1:3">
      <c r="A6" t="s">
        <v>123</v>
      </c>
      <c r="B6">
        <v>1</v>
      </c>
      <c r="C6">
        <v>3</v>
      </c>
    </row>
    <row r="7" spans="1:3">
      <c r="A7" t="s">
        <v>124</v>
      </c>
      <c r="B7">
        <v>1</v>
      </c>
      <c r="C7">
        <v>0</v>
      </c>
    </row>
    <row r="8" spans="1:3">
      <c r="A8" t="s">
        <v>125</v>
      </c>
      <c r="B8">
        <v>1</v>
      </c>
      <c r="C8">
        <v>0</v>
      </c>
    </row>
    <row r="9" spans="1:3">
      <c r="A9" t="s">
        <v>126</v>
      </c>
      <c r="B9">
        <v>0</v>
      </c>
      <c r="C9"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5"/>
  <sheetViews>
    <sheetView workbookViewId="0">
      <selection activeCell="A1" sqref="A1"/>
    </sheetView>
  </sheetViews>
  <sheetFormatPr defaultColWidth="9" defaultRowHeight="14" outlineLevelCol="3"/>
  <sheetData>
    <row r="1" spans="1:4">
      <c r="A1" s="1" t="s">
        <v>48</v>
      </c>
      <c r="B1" s="1" t="s">
        <v>1</v>
      </c>
      <c r="C1" s="1" t="s">
        <v>12</v>
      </c>
      <c r="D1" s="1" t="s">
        <v>16</v>
      </c>
    </row>
    <row r="2" spans="1:4">
      <c r="A2" t="s">
        <v>23</v>
      </c>
      <c r="B2">
        <v>1</v>
      </c>
      <c r="C2">
        <v>201</v>
      </c>
      <c r="D2">
        <v>171</v>
      </c>
    </row>
    <row r="3" spans="1:4">
      <c r="A3" t="s">
        <v>24</v>
      </c>
      <c r="B3">
        <v>4</v>
      </c>
      <c r="C3">
        <v>798.66</v>
      </c>
      <c r="D3">
        <v>800.66</v>
      </c>
    </row>
    <row r="4" spans="1:4">
      <c r="A4" t="s">
        <v>25</v>
      </c>
      <c r="B4">
        <v>2</v>
      </c>
      <c r="C4">
        <v>332.4</v>
      </c>
      <c r="D4">
        <v>397</v>
      </c>
    </row>
    <row r="5" spans="1:4">
      <c r="A5" t="s">
        <v>26</v>
      </c>
      <c r="B5">
        <v>3.5</v>
      </c>
      <c r="C5">
        <v>630</v>
      </c>
      <c r="D5">
        <v>817</v>
      </c>
    </row>
    <row r="6" spans="1:4">
      <c r="A6" t="s">
        <v>27</v>
      </c>
      <c r="B6">
        <v>15.25</v>
      </c>
      <c r="C6">
        <v>1340.59</v>
      </c>
      <c r="D6">
        <v>448</v>
      </c>
    </row>
    <row r="7" spans="1:4">
      <c r="A7" t="s">
        <v>28</v>
      </c>
      <c r="B7">
        <v>8</v>
      </c>
      <c r="C7">
        <v>1518</v>
      </c>
      <c r="D7">
        <v>1143</v>
      </c>
    </row>
    <row r="8" spans="1:4">
      <c r="A8" t="s">
        <v>29</v>
      </c>
      <c r="B8">
        <v>4.03</v>
      </c>
      <c r="C8">
        <v>1382.97</v>
      </c>
      <c r="D8">
        <v>1390</v>
      </c>
    </row>
    <row r="9" spans="1:4">
      <c r="A9" t="s">
        <v>32</v>
      </c>
      <c r="B9">
        <v>1.5</v>
      </c>
      <c r="C9">
        <v>360</v>
      </c>
      <c r="D9">
        <v>350</v>
      </c>
    </row>
    <row r="10" spans="1:4">
      <c r="A10" t="s">
        <v>33</v>
      </c>
      <c r="B10">
        <v>9</v>
      </c>
      <c r="C10">
        <v>1220.05</v>
      </c>
      <c r="D10">
        <v>892</v>
      </c>
    </row>
    <row r="11" spans="1:4">
      <c r="A11" t="s">
        <v>34</v>
      </c>
      <c r="B11">
        <v>5</v>
      </c>
      <c r="C11">
        <v>1451</v>
      </c>
      <c r="D11">
        <v>688</v>
      </c>
    </row>
    <row r="12" spans="1:4">
      <c r="A12" t="s">
        <v>35</v>
      </c>
      <c r="B12">
        <v>2.75</v>
      </c>
      <c r="C12">
        <v>1134</v>
      </c>
      <c r="D12">
        <v>970</v>
      </c>
    </row>
    <row r="13" spans="1:4">
      <c r="A13" t="s">
        <v>36</v>
      </c>
      <c r="B13">
        <v>11</v>
      </c>
      <c r="C13">
        <v>845.32</v>
      </c>
      <c r="D13">
        <v>848</v>
      </c>
    </row>
    <row r="14" spans="1:4">
      <c r="A14" t="s">
        <v>37</v>
      </c>
      <c r="B14">
        <v>3.5</v>
      </c>
      <c r="C14">
        <v>485</v>
      </c>
      <c r="D14">
        <v>325</v>
      </c>
    </row>
    <row r="15" spans="1:4">
      <c r="A15" t="s">
        <v>38</v>
      </c>
      <c r="B15">
        <v>19.73</v>
      </c>
      <c r="C15">
        <v>3867.94</v>
      </c>
      <c r="D15">
        <v>3147.6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5"/>
  <sheetViews>
    <sheetView workbookViewId="0">
      <selection activeCell="A1" sqref="A1"/>
    </sheetView>
  </sheetViews>
  <sheetFormatPr defaultColWidth="9" defaultRowHeight="14" outlineLevelCol="1"/>
  <sheetData>
    <row r="1" spans="1:2">
      <c r="A1" s="1" t="s">
        <v>48</v>
      </c>
      <c r="B1" s="1" t="s">
        <v>115</v>
      </c>
    </row>
    <row r="2" spans="1:2">
      <c r="A2" t="s">
        <v>23</v>
      </c>
      <c r="B2">
        <v>1</v>
      </c>
    </row>
    <row r="3" spans="1:2">
      <c r="A3" t="s">
        <v>24</v>
      </c>
      <c r="B3">
        <v>4</v>
      </c>
    </row>
    <row r="4" spans="1:2">
      <c r="A4" t="s">
        <v>25</v>
      </c>
      <c r="B4">
        <v>2</v>
      </c>
    </row>
    <row r="5" spans="1:2">
      <c r="A5" t="s">
        <v>26</v>
      </c>
      <c r="B5">
        <v>3.5</v>
      </c>
    </row>
    <row r="6" spans="1:2">
      <c r="A6" t="s">
        <v>27</v>
      </c>
      <c r="B6">
        <v>15.25</v>
      </c>
    </row>
    <row r="7" spans="1:2">
      <c r="A7" t="s">
        <v>28</v>
      </c>
      <c r="B7">
        <v>6.5</v>
      </c>
    </row>
    <row r="8" spans="1:2">
      <c r="A8" t="s">
        <v>29</v>
      </c>
      <c r="B8">
        <v>4.03</v>
      </c>
    </row>
    <row r="9" spans="1:2">
      <c r="A9" t="s">
        <v>32</v>
      </c>
      <c r="B9">
        <v>1.5</v>
      </c>
    </row>
    <row r="10" spans="1:2">
      <c r="A10" t="s">
        <v>33</v>
      </c>
      <c r="B10">
        <v>9</v>
      </c>
    </row>
    <row r="11" spans="1:2">
      <c r="A11" t="s">
        <v>34</v>
      </c>
      <c r="B11">
        <v>5</v>
      </c>
    </row>
    <row r="12" spans="1:2">
      <c r="A12" t="s">
        <v>35</v>
      </c>
      <c r="B12">
        <v>2.75</v>
      </c>
    </row>
    <row r="13" spans="1:2">
      <c r="A13" t="s">
        <v>36</v>
      </c>
      <c r="B13">
        <v>11</v>
      </c>
    </row>
    <row r="14" spans="1:2">
      <c r="A14" t="s">
        <v>37</v>
      </c>
      <c r="B14">
        <v>3.5</v>
      </c>
    </row>
    <row r="15" spans="1:2">
      <c r="A15" t="s">
        <v>38</v>
      </c>
      <c r="B15">
        <v>19.73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5"/>
  <sheetViews>
    <sheetView workbookViewId="0">
      <selection activeCell="J17" sqref="J17"/>
    </sheetView>
  </sheetViews>
  <sheetFormatPr defaultColWidth="8.72727272727273" defaultRowHeight="14"/>
  <sheetData>
    <row r="1" ht="14.75" customHeight="1" spans="1:9">
      <c r="A1" s="9" t="s">
        <v>5</v>
      </c>
      <c r="B1" s="10" t="s">
        <v>44</v>
      </c>
      <c r="C1" s="10" t="s">
        <v>45</v>
      </c>
      <c r="D1" s="11" t="s">
        <v>46</v>
      </c>
      <c r="F1" s="9" t="s">
        <v>5</v>
      </c>
      <c r="G1" s="10" t="s">
        <v>44</v>
      </c>
      <c r="H1" s="10" t="s">
        <v>45</v>
      </c>
      <c r="I1" s="11" t="s">
        <v>46</v>
      </c>
    </row>
    <row r="2" spans="1:9">
      <c r="A2" t="s">
        <v>33</v>
      </c>
      <c r="B2">
        <v>10</v>
      </c>
      <c r="C2">
        <v>35.5</v>
      </c>
      <c r="D2">
        <v>5607</v>
      </c>
      <c r="F2" t="s">
        <v>33</v>
      </c>
      <c r="G2">
        <v>18</v>
      </c>
      <c r="H2">
        <v>57.5</v>
      </c>
      <c r="I2">
        <v>8927</v>
      </c>
    </row>
    <row r="3" spans="1:9">
      <c r="A3" t="s">
        <v>29</v>
      </c>
      <c r="B3">
        <v>3</v>
      </c>
      <c r="C3">
        <v>21</v>
      </c>
      <c r="D3">
        <v>4047</v>
      </c>
      <c r="F3" t="s">
        <v>26</v>
      </c>
      <c r="G3">
        <v>5</v>
      </c>
      <c r="H3">
        <v>49.2</v>
      </c>
      <c r="I3">
        <v>6479</v>
      </c>
    </row>
    <row r="4" spans="1:9">
      <c r="A4" t="s">
        <v>28</v>
      </c>
      <c r="B4">
        <v>6</v>
      </c>
      <c r="C4">
        <v>15.33</v>
      </c>
      <c r="D4">
        <v>3760</v>
      </c>
      <c r="F4" t="s">
        <v>25</v>
      </c>
      <c r="G4">
        <v>9</v>
      </c>
      <c r="H4">
        <v>38.9</v>
      </c>
      <c r="I4">
        <v>7693</v>
      </c>
    </row>
    <row r="5" spans="1:9">
      <c r="A5" t="s">
        <v>25</v>
      </c>
      <c r="B5">
        <v>4</v>
      </c>
      <c r="C5">
        <v>12</v>
      </c>
      <c r="D5">
        <v>2515</v>
      </c>
      <c r="F5" t="s">
        <v>35</v>
      </c>
      <c r="G5">
        <v>10</v>
      </c>
      <c r="H5">
        <v>35</v>
      </c>
      <c r="I5">
        <v>7814</v>
      </c>
    </row>
    <row r="6" spans="1:9">
      <c r="A6" t="s">
        <v>35</v>
      </c>
      <c r="B6">
        <v>3</v>
      </c>
      <c r="C6">
        <v>12</v>
      </c>
      <c r="D6">
        <v>2148</v>
      </c>
      <c r="F6" t="s">
        <v>38</v>
      </c>
      <c r="G6">
        <v>9</v>
      </c>
      <c r="H6">
        <v>28.5</v>
      </c>
      <c r="I6">
        <v>7383</v>
      </c>
    </row>
    <row r="7" spans="1:9">
      <c r="A7" t="s">
        <v>24</v>
      </c>
      <c r="B7">
        <v>4</v>
      </c>
      <c r="C7">
        <v>11.5</v>
      </c>
      <c r="D7">
        <v>2099</v>
      </c>
      <c r="F7" t="s">
        <v>34</v>
      </c>
      <c r="G7">
        <v>5</v>
      </c>
      <c r="H7">
        <v>24.98</v>
      </c>
      <c r="I7">
        <v>4884</v>
      </c>
    </row>
    <row r="8" spans="1:9">
      <c r="A8" t="s">
        <v>27</v>
      </c>
      <c r="B8">
        <v>5</v>
      </c>
      <c r="C8">
        <v>11</v>
      </c>
      <c r="D8">
        <v>1188</v>
      </c>
      <c r="F8" t="s">
        <v>29</v>
      </c>
      <c r="G8">
        <v>3</v>
      </c>
      <c r="H8">
        <v>21</v>
      </c>
      <c r="I8">
        <v>4047</v>
      </c>
    </row>
    <row r="9" spans="1:9">
      <c r="A9" t="s">
        <v>26</v>
      </c>
      <c r="B9">
        <v>2</v>
      </c>
      <c r="C9">
        <v>10.8</v>
      </c>
      <c r="D9">
        <v>2129</v>
      </c>
      <c r="F9" t="s">
        <v>36</v>
      </c>
      <c r="G9">
        <v>7</v>
      </c>
      <c r="H9">
        <v>17.5</v>
      </c>
      <c r="I9">
        <v>4460</v>
      </c>
    </row>
    <row r="10" spans="1:9">
      <c r="A10" t="s">
        <v>38</v>
      </c>
      <c r="B10">
        <v>6</v>
      </c>
      <c r="C10">
        <v>8.5</v>
      </c>
      <c r="D10">
        <v>2284</v>
      </c>
      <c r="F10" t="s">
        <v>37</v>
      </c>
      <c r="G10">
        <v>8</v>
      </c>
      <c r="H10">
        <v>17</v>
      </c>
      <c r="I10">
        <v>4567</v>
      </c>
    </row>
    <row r="11" spans="1:9">
      <c r="A11" t="s">
        <v>36</v>
      </c>
      <c r="B11">
        <v>5</v>
      </c>
      <c r="C11">
        <v>7.5</v>
      </c>
      <c r="D11">
        <v>1324</v>
      </c>
      <c r="F11" t="s">
        <v>28</v>
      </c>
      <c r="G11">
        <v>6</v>
      </c>
      <c r="H11">
        <v>15.33</v>
      </c>
      <c r="I11">
        <v>3760</v>
      </c>
    </row>
    <row r="12" spans="1:9">
      <c r="A12" t="s">
        <v>34</v>
      </c>
      <c r="B12">
        <v>2</v>
      </c>
      <c r="C12">
        <v>4.5</v>
      </c>
      <c r="D12">
        <v>819</v>
      </c>
      <c r="F12" t="s">
        <v>27</v>
      </c>
      <c r="G12">
        <v>6</v>
      </c>
      <c r="H12">
        <v>12</v>
      </c>
      <c r="I12">
        <v>1388</v>
      </c>
    </row>
    <row r="13" spans="1:9">
      <c r="A13" t="s">
        <v>37</v>
      </c>
      <c r="B13">
        <v>1</v>
      </c>
      <c r="C13">
        <v>2.5</v>
      </c>
      <c r="D13">
        <v>399</v>
      </c>
      <c r="F13" t="s">
        <v>24</v>
      </c>
      <c r="G13">
        <v>5</v>
      </c>
      <c r="H13">
        <v>11.5</v>
      </c>
      <c r="I13">
        <v>2099</v>
      </c>
    </row>
    <row r="14" spans="1:9">
      <c r="A14" t="s">
        <v>23</v>
      </c>
      <c r="B14">
        <v>0</v>
      </c>
      <c r="C14">
        <v>0</v>
      </c>
      <c r="D14">
        <v>0</v>
      </c>
      <c r="F14" t="s">
        <v>32</v>
      </c>
      <c r="G14">
        <v>1</v>
      </c>
      <c r="H14">
        <v>6</v>
      </c>
      <c r="I14">
        <v>1200</v>
      </c>
    </row>
    <row r="15" spans="1:9">
      <c r="A15" t="s">
        <v>32</v>
      </c>
      <c r="B15">
        <v>0</v>
      </c>
      <c r="C15">
        <v>0</v>
      </c>
      <c r="D15">
        <v>0</v>
      </c>
      <c r="F15" t="s">
        <v>23</v>
      </c>
      <c r="G15">
        <v>0</v>
      </c>
      <c r="H15">
        <v>0</v>
      </c>
      <c r="I15">
        <v>0</v>
      </c>
    </row>
  </sheetData>
  <pageMargins left="0.75" right="0.75" top="1" bottom="1" header="0.5" footer="0.5"/>
  <headerFooter/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16"/>
  <sheetViews>
    <sheetView workbookViewId="0">
      <selection activeCell="M12" sqref="M12"/>
    </sheetView>
  </sheetViews>
  <sheetFormatPr defaultColWidth="8.72727272727273" defaultRowHeight="14"/>
  <cols>
    <col min="1" max="1" width="11.2727272727273" style="3" customWidth="1"/>
    <col min="4" max="4" width="11.1818181818182" style="3" customWidth="1"/>
  </cols>
  <sheetData>
    <row r="1" ht="14.75" customHeight="1" spans="1:13">
      <c r="A1" t="s">
        <v>47</v>
      </c>
      <c r="B1" t="s">
        <v>48</v>
      </c>
      <c r="C1" t="s">
        <v>18</v>
      </c>
      <c r="D1" t="s">
        <v>19</v>
      </c>
      <c r="E1" t="s">
        <v>20</v>
      </c>
      <c r="J1" s="4" t="s">
        <v>127</v>
      </c>
      <c r="K1" s="4" t="s">
        <v>128</v>
      </c>
      <c r="L1" s="5" t="s">
        <v>129</v>
      </c>
      <c r="M1" s="6" t="s">
        <v>130</v>
      </c>
    </row>
    <row r="2" ht="14.75" customHeight="1" spans="1:13">
      <c r="A2" t="s">
        <v>64</v>
      </c>
      <c r="B2" s="7" t="s">
        <v>65</v>
      </c>
      <c r="C2">
        <v>100</v>
      </c>
      <c r="D2">
        <f t="array" ref="D2">SUMPRODUCT(SUMIF(全光组网!A:A,$J$2:$J$16,全光组网!B:B)*($M$2:$M$16=B2))</f>
        <v>6</v>
      </c>
      <c r="E2" s="2">
        <f t="shared" ref="E2:E13" si="0">D2/C2</f>
        <v>0.06</v>
      </c>
      <c r="J2" s="4" t="s">
        <v>35</v>
      </c>
      <c r="K2" s="4" t="s">
        <v>69</v>
      </c>
      <c r="L2" s="4" t="s">
        <v>131</v>
      </c>
      <c r="M2" s="8" t="s">
        <v>66</v>
      </c>
    </row>
    <row r="3" ht="14.75" customHeight="1" spans="1:13">
      <c r="A3" t="s">
        <v>64</v>
      </c>
      <c r="B3" s="7" t="s">
        <v>66</v>
      </c>
      <c r="C3">
        <v>100</v>
      </c>
      <c r="D3">
        <f t="array" ref="D3">SUMPRODUCT(SUMIF(全光组网!A:A,$J$2:$J$16,全光组网!B:B)*($M$2:$M$16=B3))</f>
        <v>9</v>
      </c>
      <c r="E3" s="2">
        <f t="shared" si="0"/>
        <v>0.09</v>
      </c>
      <c r="J3" s="8" t="s">
        <v>29</v>
      </c>
      <c r="K3" s="8" t="s">
        <v>69</v>
      </c>
      <c r="L3" s="8" t="s">
        <v>131</v>
      </c>
      <c r="M3" s="8" t="s">
        <v>66</v>
      </c>
    </row>
    <row r="4" ht="14.75" customHeight="1" spans="1:13">
      <c r="A4" t="s">
        <v>64</v>
      </c>
      <c r="B4" s="7" t="s">
        <v>67</v>
      </c>
      <c r="C4">
        <v>100</v>
      </c>
      <c r="D4" cm="1">
        <f t="array" ref="D4">SUMPRODUCT(SUMIF(全光组网!A:A,$J$2:$J$16,全光组网!B:B)*($M$2:$M$16=B4))</f>
        <v>25</v>
      </c>
      <c r="E4" s="2">
        <f t="shared" si="0"/>
        <v>0.25</v>
      </c>
      <c r="J4" s="8" t="s">
        <v>28</v>
      </c>
      <c r="K4" s="8" t="s">
        <v>71</v>
      </c>
      <c r="L4" s="8" t="s">
        <v>132</v>
      </c>
      <c r="M4" s="8" t="s">
        <v>66</v>
      </c>
    </row>
    <row r="5" ht="14.75" customHeight="1" spans="1:13">
      <c r="A5" t="s">
        <v>64</v>
      </c>
      <c r="B5" s="7" t="s">
        <v>68</v>
      </c>
      <c r="C5">
        <v>75</v>
      </c>
      <c r="D5">
        <f t="array" ref="D5">SUMPRODUCT(SUMIF(全光组网!A:A,$J$2:$J$16,全光组网!B:B)*($M$2:$M$16=B5))</f>
        <v>30</v>
      </c>
      <c r="E5" s="2">
        <f t="shared" si="0"/>
        <v>0.4</v>
      </c>
      <c r="J5" s="8" t="s">
        <v>23</v>
      </c>
      <c r="K5" s="8" t="s">
        <v>71</v>
      </c>
      <c r="L5" s="8" t="s">
        <v>132</v>
      </c>
      <c r="M5" s="8" t="s">
        <v>66</v>
      </c>
    </row>
    <row r="6" ht="14.75" customHeight="1" spans="1:13">
      <c r="A6" t="s">
        <v>51</v>
      </c>
      <c r="B6" s="7" t="s">
        <v>69</v>
      </c>
      <c r="C6">
        <v>50</v>
      </c>
      <c r="D6">
        <f t="array" ref="D6">SUMPRODUCT(SUMIF(全光组网!A:A,$J$2:$J$16,全光组网!B:B)*ISNUMBER(SEARCH(B6,$K$2:$K$16)))</f>
        <v>6</v>
      </c>
      <c r="E6" s="2">
        <f t="shared" si="0"/>
        <v>0.12</v>
      </c>
      <c r="J6" s="8" t="s">
        <v>34</v>
      </c>
      <c r="K6" s="8" t="s">
        <v>72</v>
      </c>
      <c r="L6" s="8" t="s">
        <v>132</v>
      </c>
      <c r="M6" s="8" t="s">
        <v>65</v>
      </c>
    </row>
    <row r="7" ht="14.75" customHeight="1" spans="1:13">
      <c r="A7" t="s">
        <v>51</v>
      </c>
      <c r="B7" s="7" t="s">
        <v>71</v>
      </c>
      <c r="C7">
        <v>50</v>
      </c>
      <c r="D7">
        <f t="array" ref="D7">SUMPRODUCT(SUMIF(全光组网!A:A,$J$2:$J$16,全光组网!B:B)*ISNUMBER(SEARCH(B7,$K$2:$K$16)))</f>
        <v>3</v>
      </c>
      <c r="E7" s="2">
        <f t="shared" si="0"/>
        <v>0.06</v>
      </c>
      <c r="J7" s="8" t="s">
        <v>26</v>
      </c>
      <c r="K7" s="8" t="s">
        <v>72</v>
      </c>
      <c r="L7" s="8" t="s">
        <v>132</v>
      </c>
      <c r="M7" s="8" t="s">
        <v>65</v>
      </c>
    </row>
    <row r="8" ht="14.75" customHeight="1" spans="1:13">
      <c r="A8" t="s">
        <v>51</v>
      </c>
      <c r="B8" s="7" t="s">
        <v>72</v>
      </c>
      <c r="C8">
        <v>50</v>
      </c>
      <c r="D8">
        <f t="array" ref="D8">SUMPRODUCT(SUMIF(全光组网!A:A,$J$2:$J$16,全光组网!B:B)*ISNUMBER(SEARCH(B8,$K$2:$K$16)))</f>
        <v>0</v>
      </c>
      <c r="E8" s="2">
        <f t="shared" si="0"/>
        <v>0</v>
      </c>
      <c r="J8" s="8" t="s">
        <v>25</v>
      </c>
      <c r="K8" s="8" t="s">
        <v>73</v>
      </c>
      <c r="L8" s="8" t="s">
        <v>133</v>
      </c>
      <c r="M8" s="8" t="s">
        <v>65</v>
      </c>
    </row>
    <row r="9" ht="14.75" customHeight="1" spans="1:13">
      <c r="A9" t="s">
        <v>51</v>
      </c>
      <c r="B9" s="7" t="s">
        <v>73</v>
      </c>
      <c r="C9">
        <v>50</v>
      </c>
      <c r="D9">
        <f t="array" ref="D9">SUMPRODUCT(SUMIF(全光组网!A:A,$J$2:$J$16,全光组网!B:B)*ISNUMBER(SEARCH(B9,$K$2:$K$16)))</f>
        <v>6</v>
      </c>
      <c r="E9" s="2">
        <f t="shared" si="0"/>
        <v>0.12</v>
      </c>
      <c r="J9" s="8" t="s">
        <v>27</v>
      </c>
      <c r="K9" s="8" t="s">
        <v>73</v>
      </c>
      <c r="L9" s="8" t="s">
        <v>133</v>
      </c>
      <c r="M9" s="8" t="s">
        <v>65</v>
      </c>
    </row>
    <row r="10" ht="14.75" customHeight="1" spans="1:13">
      <c r="A10" t="s">
        <v>51</v>
      </c>
      <c r="B10" s="7" t="s">
        <v>74</v>
      </c>
      <c r="C10">
        <v>50</v>
      </c>
      <c r="D10">
        <f t="array" ref="D10">SUMPRODUCT(SUMIF(全光组网!A:A,$J$2:$J$16,全光组网!B:B)*ISNUMBER(SEARCH(B10,$K$2:$K$16)))</f>
        <v>11</v>
      </c>
      <c r="E10" s="2">
        <f t="shared" si="0"/>
        <v>0.22</v>
      </c>
      <c r="J10" s="8" t="s">
        <v>32</v>
      </c>
      <c r="K10" s="8" t="s">
        <v>74</v>
      </c>
      <c r="L10" s="8" t="s">
        <v>133</v>
      </c>
      <c r="M10" s="8" t="s">
        <v>67</v>
      </c>
    </row>
    <row r="11" ht="14.75" customHeight="1" spans="1:13">
      <c r="A11" t="s">
        <v>51</v>
      </c>
      <c r="B11" s="7" t="s">
        <v>75</v>
      </c>
      <c r="C11">
        <v>50</v>
      </c>
      <c r="D11">
        <f t="array" ref="D11">SUMPRODUCT(SUMIF(全光组网!A:A,$J$2:$J$16,全光组网!B:B)*ISNUMBER(SEARCH(B11,$K$2:$K$16)))</f>
        <v>14</v>
      </c>
      <c r="E11" s="2">
        <f t="shared" si="0"/>
        <v>0.28</v>
      </c>
      <c r="J11" s="8" t="s">
        <v>33</v>
      </c>
      <c r="K11" s="8" t="s">
        <v>74</v>
      </c>
      <c r="L11" s="8" t="s">
        <v>133</v>
      </c>
      <c r="M11" s="8" t="s">
        <v>67</v>
      </c>
    </row>
    <row r="12" ht="14.75" customHeight="1" spans="1:13">
      <c r="A12" t="s">
        <v>51</v>
      </c>
      <c r="B12" s="7" t="s">
        <v>76</v>
      </c>
      <c r="C12">
        <v>50</v>
      </c>
      <c r="D12">
        <f t="array" ref="D12">SUMPRODUCT(SUMIF(全光组网!A:A,$J$2:$J$16,全光组网!B:B)*ISNUMBER(SEARCH(B12,$K$2:$K$16)))</f>
        <v>30</v>
      </c>
      <c r="E12" s="2">
        <f t="shared" si="0"/>
        <v>0.6</v>
      </c>
      <c r="J12" s="8" t="s">
        <v>36</v>
      </c>
      <c r="K12" s="8" t="s">
        <v>75</v>
      </c>
      <c r="L12" s="8" t="s">
        <v>131</v>
      </c>
      <c r="M12" s="8" t="s">
        <v>67</v>
      </c>
    </row>
    <row r="13" ht="14.75" customHeight="1" spans="1:13">
      <c r="A13" t="s">
        <v>51</v>
      </c>
      <c r="B13" s="7" t="s">
        <v>134</v>
      </c>
      <c r="C13">
        <v>25</v>
      </c>
      <c r="D13">
        <f t="array" ref="D13">SUMPRODUCT(SUMIF(全光组网!A:A,$J$2:$J$16,全光组网!B:B)*ISNUMBER(SEARCH(B13,$K$2:$K$16)))</f>
        <v>0</v>
      </c>
      <c r="E13" s="2">
        <f t="shared" si="0"/>
        <v>0</v>
      </c>
      <c r="J13" s="8" t="s">
        <v>24</v>
      </c>
      <c r="K13" s="8" t="s">
        <v>75</v>
      </c>
      <c r="L13" s="8" t="s">
        <v>131</v>
      </c>
      <c r="M13" s="8" t="s">
        <v>67</v>
      </c>
    </row>
    <row r="14" ht="14.75" customHeight="1" spans="1:13">
      <c r="J14" s="8" t="s">
        <v>38</v>
      </c>
      <c r="K14" s="8" t="s">
        <v>76</v>
      </c>
      <c r="L14" s="8" t="s">
        <v>133</v>
      </c>
      <c r="M14" s="8" t="s">
        <v>68</v>
      </c>
    </row>
    <row r="15" ht="14.75" customHeight="1" spans="1:13">
      <c r="J15" s="8" t="s">
        <v>37</v>
      </c>
      <c r="K15" s="8" t="s">
        <v>76</v>
      </c>
      <c r="L15" s="8" t="s">
        <v>133</v>
      </c>
      <c r="M15" s="8" t="s">
        <v>68</v>
      </c>
    </row>
    <row r="16" ht="14.75" customHeight="1" spans="1:13">
      <c r="J16" s="8" t="s">
        <v>135</v>
      </c>
      <c r="K16" s="8" t="s">
        <v>136</v>
      </c>
      <c r="L16" s="8" t="s">
        <v>131</v>
      </c>
      <c r="M16" s="8" t="s">
        <v>68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9"/>
  <sheetViews>
    <sheetView workbookViewId="0">
      <selection activeCell="B2" sqref="B2"/>
    </sheetView>
  </sheetViews>
  <sheetFormatPr defaultColWidth="9" defaultRowHeight="14" outlineLevelCol="3"/>
  <sheetData>
    <row r="1" spans="1:4">
      <c r="A1" s="1" t="s">
        <v>48</v>
      </c>
      <c r="B1" s="1" t="s">
        <v>115</v>
      </c>
      <c r="C1" t="s">
        <v>49</v>
      </c>
      <c r="D1" t="s">
        <v>20</v>
      </c>
    </row>
    <row r="2" spans="1:4">
      <c r="A2" t="s">
        <v>69</v>
      </c>
      <c r="B2">
        <v>0</v>
      </c>
      <c r="C2">
        <v>1</v>
      </c>
      <c r="D2" s="2">
        <f t="shared" ref="D2:D9" si="0">B2/C2</f>
        <v>0</v>
      </c>
    </row>
    <row r="3" spans="1:4">
      <c r="A3" t="s">
        <v>71</v>
      </c>
      <c r="B3">
        <v>0</v>
      </c>
      <c r="C3">
        <v>1</v>
      </c>
      <c r="D3" s="2">
        <f t="shared" si="0"/>
        <v>0</v>
      </c>
    </row>
    <row r="4" spans="1:4">
      <c r="A4" t="s">
        <v>72</v>
      </c>
      <c r="B4">
        <v>0</v>
      </c>
      <c r="C4">
        <v>1</v>
      </c>
      <c r="D4" s="2">
        <f t="shared" si="0"/>
        <v>0</v>
      </c>
    </row>
    <row r="5" spans="1:4">
      <c r="A5" t="s">
        <v>73</v>
      </c>
      <c r="B5">
        <v>0</v>
      </c>
      <c r="C5">
        <v>1</v>
      </c>
      <c r="D5" s="2">
        <f t="shared" si="0"/>
        <v>0</v>
      </c>
    </row>
    <row r="6" spans="1:4">
      <c r="A6" t="s">
        <v>74</v>
      </c>
      <c r="B6">
        <v>0</v>
      </c>
      <c r="C6">
        <v>1</v>
      </c>
      <c r="D6" s="2">
        <f t="shared" si="0"/>
        <v>0</v>
      </c>
    </row>
    <row r="7" spans="1:4">
      <c r="A7" t="s">
        <v>75</v>
      </c>
      <c r="B7">
        <v>0</v>
      </c>
      <c r="C7">
        <v>1</v>
      </c>
      <c r="D7" s="2">
        <f t="shared" si="0"/>
        <v>0</v>
      </c>
    </row>
    <row r="8" spans="1:4">
      <c r="A8" t="s">
        <v>76</v>
      </c>
      <c r="B8">
        <v>0</v>
      </c>
      <c r="C8">
        <v>1</v>
      </c>
      <c r="D8" s="2">
        <f t="shared" si="0"/>
        <v>0</v>
      </c>
    </row>
    <row r="9" spans="1:4">
      <c r="A9" t="s">
        <v>134</v>
      </c>
      <c r="B9">
        <v>0</v>
      </c>
      <c r="C9">
        <v>1</v>
      </c>
      <c r="D9" s="2">
        <f t="shared" si="0"/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模板1</vt:lpstr>
      <vt:lpstr>模板2</vt:lpstr>
      <vt:lpstr>全光组网</vt:lpstr>
      <vt:lpstr>高套</vt:lpstr>
      <vt:lpstr>主从网关数</vt:lpstr>
      <vt:lpstr>完美一单</vt:lpstr>
      <vt:lpstr>红黄牌高套</vt:lpstr>
      <vt:lpstr>商机统计</vt:lpstr>
      <vt:lpstr>交付高装</vt:lpstr>
      <vt:lpstr>高装高套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Conan Edogawa</cp:lastModifiedBy>
  <dcterms:created xsi:type="dcterms:W3CDTF">2026-02-25T03:20:00Z</dcterms:created>
  <dcterms:modified xsi:type="dcterms:W3CDTF">2026-04-28T14:25:38Z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D506984BD1C4472392BDAB583C254F00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