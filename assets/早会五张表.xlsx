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<sst xmlns="http://schemas.openxmlformats.org/spreadsheetml/2006/main" count="478" uniqueCount="91">
  <si>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</si>
  <si>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</si>
  <si>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</si>
  <si>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</si>
  <si>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</si>
  <si>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</si>
  <si>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</si>
  <si>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</si>
  <si>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</si>
  <si>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</si>
  <si>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</si>
  <si>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</si>
  <si>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</si>
  <si>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</si>
  <si>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</si>
  <si>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</si>
  <si>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</si>
  <si>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</si>
  <si>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</si>
  <si>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</si>
  <si>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</si>
  <si>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</si>
  <si>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</si>
  <si>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</si>
  <si>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</si>
  <si>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</si>
  <si>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</si>
  <si>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</si>
  <si>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</si>
  <si>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</si>
  <si>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</si>
  <si>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</si>
  <si>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</si>
  <si>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</si>
  <si>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</si>
  <si>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</si>
  <si>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</si>
  <si>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</si>
  <si>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</si>
  <si>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</si>
  <si>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</si>
  <si>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</si>
  <si>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</si>
  <si>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</si>
  <si>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</si>
  <si>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</si>
  <si>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</si>
  <si>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</si>
  <si>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</si>
  <si>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</si>
  <si>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</si>
  <si>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</si>
  <si>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</si>
  <si>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</si>
  <si>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</si>
  <si>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</si>
  <si>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</si>
  <si>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</si>
  <si>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</si>
  <si>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</si>
  <si>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</si>
  <si>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</si>
  <si>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</si>
  <si>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</si>
  <si>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</si>
  <si>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</si>
  <si>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</si>
  <si>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</si>
  <si>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</si>
  <si>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</si>
  <si>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</si>
  <si>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</si>
  <si>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</si>
  <si>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</si>
  <si>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</si>
  <si>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累计商机统计表（所有数据）</t>
  </si>
  <si>
    <t>户数</t>
  </si>
  <si>
    <t>高套累计数</t>
  </si>
  <si>
    <t>积分累计数</t>
  </si>
  <si>
    <t>高套数</t>
  </si>
  <si>
    <t>新增积分（全业务）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</si>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</sst>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7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b/>
      <sz val="16"/>
      <color rgb="FFFFFFFF"/>
      <name val="Arial"/>
      <charset val="134"/>
    </font>
    <font>
      <b/>
      <sz val="16"/>
      <color rgb="FFFFFFFF"/>
      <name val="宋体"/>
      <charset val="134"/>
    </font>
    <font>
      <i/>
      <sz val="9"/>
      <color rgb="FFDDEEFF"/>
      <name val="宋体"/>
      <charset val="134"/>
    </font>
    <font>
      <b/>
      <sz val="10"/>
      <color rgb="FF1B3A6B"/>
      <name val="宋体"/>
      <charset val="134"/>
    </font>
    <font>
      <sz val="10"/>
      <color rgb="FF1C2B3A"/>
      <name val="Arial"/>
      <charset val="134"/>
    </font>
    <font>
      <b/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B3A6B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E8A070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EBF2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/>
      <right/>
      <top style="medium">
        <color rgb="FF1B3A6B"/>
      </top>
      <bottom style="medium">
        <color rgb="FF1B3A6B"/>
      </bottom>
      <diagonal/>
    </border>
    <border>
      <left/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 style="medium">
        <color rgb="FF1B3A6B"/>
      </left>
      <right/>
      <top/>
      <bottom/>
      <diagonal/>
    </border>
    <border>
      <left style="medium">
        <color rgb="FF1B3A6B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medium">
        <color rgb="FF1B3A6B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/>
      <bottom/>
      <diagonal/>
    </border>
    <border>
      <left style="medium">
        <color rgb="FF1B3A6B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medium">
        <color rgb="FF1B3A6B"/>
      </right>
      <top style="thin">
        <color rgb="FFA0B8D8"/>
      </top>
      <bottom style="thin">
        <color rgb="FFA0B8D8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medium">
        <color rgb="FF1B3A6B"/>
      </right>
      <top style="thin">
        <color rgb="FFA0B8D8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0" fillId="29" borderId="57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58">
      <alignment vertical="center"/>
    </xf>
    <xf numFmtId="0" fontId="34" fillId="0" borderId="58">
      <alignment vertical="center"/>
    </xf>
    <xf numFmtId="0" fontId="35" fillId="0" borderId="59">
      <alignment vertical="center"/>
    </xf>
    <xf numFmtId="0" fontId="35" fillId="0" borderId="0">
      <alignment vertical="center"/>
    </xf>
    <xf numFmtId="0" fontId="36" fillId="30" borderId="60">
      <alignment vertical="center"/>
    </xf>
    <xf numFmtId="0" fontId="37" fillId="31" borderId="61">
      <alignment vertical="center"/>
    </xf>
    <xf numFmtId="0" fontId="38" fillId="31" borderId="60">
      <alignment vertical="center"/>
    </xf>
    <xf numFmtId="0" fontId="39" fillId="32" borderId="62">
      <alignment vertical="center"/>
    </xf>
    <xf numFmtId="0" fontId="40" fillId="0" borderId="63">
      <alignment vertical="center"/>
    </xf>
    <xf numFmtId="0" fontId="41" fillId="0" borderId="64">
      <alignment vertical="center"/>
    </xf>
    <xf numFmtId="0" fontId="42" fillId="33" borderId="0">
      <alignment vertical="center"/>
    </xf>
    <xf numFmtId="0" fontId="43" fillId="34" borderId="0">
      <alignment vertical="center"/>
    </xf>
    <xf numFmtId="0" fontId="44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40" borderId="0">
      <alignment vertical="center"/>
    </xf>
    <xf numFmtId="0" fontId="46" fillId="41" borderId="0">
      <alignment vertical="center"/>
    </xf>
    <xf numFmtId="0" fontId="46" fillId="42" borderId="0">
      <alignment vertical="center"/>
    </xf>
    <xf numFmtId="0" fontId="45" fillId="43" borderId="0">
      <alignment vertical="center"/>
    </xf>
    <xf numFmtId="0" fontId="45" fillId="44" borderId="0">
      <alignment vertical="center"/>
    </xf>
    <xf numFmtId="0" fontId="46" fillId="45" borderId="0">
      <alignment vertical="center"/>
    </xf>
    <xf numFmtId="0" fontId="46" fillId="46" borderId="0">
      <alignment vertical="center"/>
    </xf>
    <xf numFmtId="0" fontId="45" fillId="47" borderId="0">
      <alignment vertical="center"/>
    </xf>
    <xf numFmtId="0" fontId="45" fillId="48" borderId="0">
      <alignment vertical="center"/>
    </xf>
    <xf numFmtId="0" fontId="46" fillId="49" borderId="0">
      <alignment vertical="center"/>
    </xf>
    <xf numFmtId="0" fontId="46" fillId="50" borderId="0">
      <alignment vertical="center"/>
    </xf>
    <xf numFmtId="0" fontId="45" fillId="51" borderId="0">
      <alignment vertical="center"/>
    </xf>
    <xf numFmtId="0" fontId="45" fillId="52" borderId="0">
      <alignment vertical="center"/>
    </xf>
    <xf numFmtId="0" fontId="46" fillId="53" borderId="0">
      <alignment vertical="center"/>
    </xf>
    <xf numFmtId="0" fontId="46" fillId="54" borderId="0">
      <alignment vertical="center"/>
    </xf>
    <xf numFmtId="0" fontId="45" fillId="55" borderId="0">
      <alignment vertical="center"/>
    </xf>
    <xf numFmtId="0" fontId="45" fillId="56" borderId="0">
      <alignment vertical="center"/>
    </xf>
    <xf numFmtId="0" fontId="46" fillId="57" borderId="0">
      <alignment vertical="center"/>
    </xf>
    <xf numFmtId="0" fontId="46" fillId="58" borderId="0">
      <alignment vertical="center"/>
    </xf>
    <xf numFmtId="0" fontId="45" fillId="59" borderId="0">
      <alignment vertical="center"/>
    </xf>
  </cellStyleXfs>
  <cellXfs count="132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4" xfId="0" applyFont="1" applyBorder="1" applyAlignment="1">
      <alignment vertical="top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0" xfId="0" applyAlignment="1"/>
    <xf numFmtId="0" fontId="4" fillId="3" borderId="8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0" fillId="0" borderId="10" xfId="0" applyBorder="1" applyAlignment="1"/>
    <xf numFmtId="0" fontId="0" fillId="0" borderId="11" xfId="0" applyBorder="1" applyAlignment="1"/>
    <xf numFmtId="0" fontId="4" fillId="3" borderId="10" xfId="0" applyFont="1" applyFill="1" applyBorder="1" applyAlignment="1">
      <alignment horizontal="center" vertical="center" wrapText="1"/>
    </xf>
    <xf numFmtId="0" fontId="0" fillId="0" borderId="12" xfId="0" applyBorder="1" applyAlignment="1"/>
    <xf numFmtId="9" fontId="4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9" fontId="4" fillId="5" borderId="14" xfId="0" applyNumberFormat="1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9" fontId="4" fillId="5" borderId="1" xfId="3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4" fillId="5" borderId="1" xfId="0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7" fillId="0" borderId="17" xfId="0" applyNumberFormat="1" applyFont="1" applyBorder="1" applyAlignment="1">
      <alignment horizontal="center" vertical="center"/>
    </xf>
    <xf numFmtId="0" fontId="0" fillId="0" borderId="18" xfId="0" applyBorder="1" applyAlignment="1"/>
    <xf numFmtId="0" fontId="4" fillId="0" borderId="19" xfId="0" applyFont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 wrapText="1"/>
    </xf>
    <xf numFmtId="9" fontId="7" fillId="4" borderId="19" xfId="0" applyNumberFormat="1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/>
    </xf>
    <xf numFmtId="176" fontId="4" fillId="0" borderId="20" xfId="0" applyNumberFormat="1" applyFont="1" applyBorder="1" applyAlignment="1">
      <alignment horizontal="center" vertical="center" wrapText="1"/>
    </xf>
    <xf numFmtId="176" fontId="4" fillId="0" borderId="19" xfId="0" applyNumberFormat="1" applyFont="1" applyBorder="1" applyAlignment="1">
      <alignment horizontal="center" vertical="center" wrapText="1"/>
    </xf>
    <xf numFmtId="9" fontId="7" fillId="0" borderId="20" xfId="0" applyNumberFormat="1" applyFont="1" applyBorder="1" applyAlignment="1">
      <alignment horizontal="center" vertical="center"/>
    </xf>
    <xf numFmtId="9" fontId="7" fillId="0" borderId="16" xfId="0" applyNumberFormat="1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76" fontId="4" fillId="0" borderId="21" xfId="0" applyNumberFormat="1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/>
    </xf>
    <xf numFmtId="0" fontId="0" fillId="0" borderId="19" xfId="0" applyBorder="1" applyAlignment="1"/>
    <xf numFmtId="0" fontId="0" fillId="0" borderId="20" xfId="0" applyBorder="1" applyAlignment="1"/>
    <xf numFmtId="0" fontId="0" fillId="0" borderId="21" xfId="0" applyBorder="1" applyAlignment="1"/>
    <xf numFmtId="0" fontId="4" fillId="4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2" fillId="9" borderId="25" xfId="0" applyFont="1" applyFill="1" applyBorder="1" applyAlignment="1">
      <alignment horizontal="center" vertical="center" wrapText="1"/>
    </xf>
    <xf numFmtId="0" fontId="3" fillId="10" borderId="26" xfId="0" applyFont="1" applyFill="1" applyBorder="1" applyAlignment="1">
      <alignment horizontal="center" vertical="center"/>
    </xf>
    <xf numFmtId="0" fontId="13" fillId="10" borderId="26" xfId="0" applyFont="1" applyFill="1" applyBorder="1" applyAlignment="1">
      <alignment horizontal="center" vertical="center" wrapText="1"/>
    </xf>
    <xf numFmtId="0" fontId="3" fillId="10" borderId="27" xfId="0" applyFont="1" applyFill="1" applyBorder="1" applyAlignment="1">
      <alignment horizontal="center" vertical="center"/>
    </xf>
    <xf numFmtId="0" fontId="14" fillId="11" borderId="25" xfId="0" applyFont="1" applyFill="1" applyBorder="1" applyAlignment="1">
      <alignment horizontal="center" vertical="center"/>
    </xf>
    <xf numFmtId="0" fontId="4" fillId="12" borderId="25" xfId="0" applyFont="1" applyFill="1" applyBorder="1" applyAlignment="1">
      <alignment horizontal="center" vertical="center"/>
    </xf>
    <xf numFmtId="0" fontId="15" fillId="12" borderId="25" xfId="0" applyFont="1" applyFill="1" applyBorder="1" applyAlignment="1">
      <alignment horizontal="center" vertical="center"/>
    </xf>
    <xf numFmtId="0" fontId="16" fillId="13" borderId="28" xfId="0" applyFont="1" applyFill="1" applyBorder="1" applyAlignment="1">
      <alignment horizontal="center" vertical="center" wrapText="1"/>
    </xf>
    <xf numFmtId="0" fontId="17" fillId="14" borderId="29" xfId="0" applyFont="1" applyFill="1" applyBorder="1" applyAlignment="1">
      <alignment horizontal="center" vertical="center"/>
    </xf>
    <xf numFmtId="9" fontId="17" fillId="14" borderId="29" xfId="0" applyNumberFormat="1" applyFont="1" applyFill="1" applyBorder="1" applyAlignment="1">
      <alignment horizontal="center" vertical="center"/>
    </xf>
    <xf numFmtId="0" fontId="16" fillId="15" borderId="30" xfId="0" applyFont="1" applyFill="1" applyBorder="1" applyAlignment="1">
      <alignment horizontal="center" vertical="center"/>
    </xf>
    <xf numFmtId="0" fontId="18" fillId="16" borderId="30" xfId="0" applyFont="1" applyFill="1" applyBorder="1" applyAlignment="1">
      <alignment horizontal="center" vertical="center"/>
    </xf>
    <xf numFmtId="177" fontId="18" fillId="16" borderId="30" xfId="0" applyNumberFormat="1" applyFont="1" applyFill="1" applyBorder="1" applyAlignment="1">
      <alignment horizontal="center" vertical="center"/>
    </xf>
    <xf numFmtId="0" fontId="19" fillId="16" borderId="30" xfId="0" applyFont="1" applyFill="1" applyBorder="1" applyAlignment="1">
      <alignment horizontal="center" vertical="center"/>
    </xf>
    <xf numFmtId="0" fontId="0" fillId="0" borderId="31" xfId="0" applyBorder="1" applyAlignment="1"/>
    <xf numFmtId="0" fontId="4" fillId="17" borderId="25" xfId="0" applyFont="1" applyFill="1" applyBorder="1" applyAlignment="1">
      <alignment horizontal="center" vertical="center"/>
    </xf>
    <xf numFmtId="0" fontId="15" fillId="17" borderId="25" xfId="0" applyFont="1" applyFill="1" applyBorder="1" applyAlignment="1">
      <alignment horizontal="center" vertical="center"/>
    </xf>
    <xf numFmtId="0" fontId="0" fillId="0" borderId="32" xfId="0" applyBorder="1" applyAlignment="1"/>
    <xf numFmtId="0" fontId="18" fillId="17" borderId="30" xfId="0" applyFont="1" applyFill="1" applyBorder="1" applyAlignment="1">
      <alignment horizontal="center" vertical="center"/>
    </xf>
    <xf numFmtId="0" fontId="19" fillId="17" borderId="30" xfId="0" applyFont="1" applyFill="1" applyBorder="1" applyAlignment="1">
      <alignment horizontal="center" vertical="center"/>
    </xf>
    <xf numFmtId="0" fontId="20" fillId="14" borderId="29" xfId="0" applyFont="1" applyFill="1" applyBorder="1" applyAlignment="1">
      <alignment horizontal="center" vertical="center"/>
    </xf>
    <xf numFmtId="0" fontId="16" fillId="18" borderId="13" xfId="0" applyFont="1" applyFill="1" applyBorder="1" applyAlignment="1">
      <alignment horizontal="center" vertical="center" wrapText="1"/>
    </xf>
    <xf numFmtId="0" fontId="17" fillId="19" borderId="33" xfId="0" applyFont="1" applyFill="1" applyBorder="1" applyAlignment="1">
      <alignment horizontal="center" vertical="center"/>
    </xf>
    <xf numFmtId="0" fontId="17" fillId="19" borderId="29" xfId="0" applyFont="1" applyFill="1" applyBorder="1" applyAlignment="1">
      <alignment horizontal="center" vertical="center"/>
    </xf>
    <xf numFmtId="9" fontId="17" fillId="19" borderId="29" xfId="0" applyNumberFormat="1" applyFont="1" applyFill="1" applyBorder="1" applyAlignment="1">
      <alignment horizontal="center" vertical="center"/>
    </xf>
    <xf numFmtId="0" fontId="0" fillId="0" borderId="34" xfId="0" applyBorder="1" applyAlignment="1"/>
    <xf numFmtId="178" fontId="18" fillId="17" borderId="30" xfId="0" applyNumberFormat="1" applyFont="1" applyFill="1" applyBorder="1" applyAlignment="1">
      <alignment horizontal="center" vertical="center"/>
    </xf>
    <xf numFmtId="0" fontId="0" fillId="0" borderId="35" xfId="0" applyBorder="1" applyAlignment="1"/>
    <xf numFmtId="0" fontId="12" fillId="9" borderId="25" xfId="0" applyFont="1" applyFill="1" applyBorder="1" applyAlignment="1">
      <alignment horizontal="center" vertical="center"/>
    </xf>
    <xf numFmtId="0" fontId="0" fillId="0" borderId="36" xfId="0" applyBorder="1" applyAlignment="1"/>
    <xf numFmtId="0" fontId="21" fillId="8" borderId="37" xfId="0" applyFont="1" applyFill="1" applyBorder="1" applyAlignment="1">
      <alignment horizontal="center" vertical="center"/>
    </xf>
    <xf numFmtId="0" fontId="21" fillId="8" borderId="38" xfId="0" applyFont="1" applyFill="1" applyBorder="1" applyAlignment="1">
      <alignment horizontal="center" vertical="center"/>
    </xf>
    <xf numFmtId="177" fontId="21" fillId="8" borderId="38" xfId="0" applyNumberFormat="1" applyFont="1" applyFill="1" applyBorder="1" applyAlignment="1">
      <alignment horizontal="center" vertical="center"/>
    </xf>
    <xf numFmtId="0" fontId="21" fillId="8" borderId="39" xfId="0" applyFont="1" applyFill="1" applyBorder="1" applyAlignment="1">
      <alignment horizontal="center" vertical="center"/>
    </xf>
    <xf numFmtId="0" fontId="0" fillId="0" borderId="40" xfId="0" applyBorder="1" applyAlignment="1"/>
    <xf numFmtId="0" fontId="20" fillId="19" borderId="33" xfId="0" applyFont="1" applyFill="1" applyBorder="1" applyAlignment="1">
      <alignment horizontal="left" vertical="center"/>
    </xf>
    <xf numFmtId="0" fontId="22" fillId="20" borderId="41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3" xfId="0" applyBorder="1" applyAlignment="1"/>
    <xf numFmtId="0" fontId="23" fillId="20" borderId="44" xfId="0" applyFont="1" applyFill="1" applyBorder="1" applyAlignment="1">
      <alignment horizontal="center" vertical="center"/>
    </xf>
    <xf numFmtId="0" fontId="24" fillId="21" borderId="45" xfId="0" applyFont="1" applyFill="1" applyBorder="1" applyAlignment="1">
      <alignment horizontal="center" vertical="center" wrapText="1"/>
    </xf>
    <xf numFmtId="0" fontId="0" fillId="0" borderId="46" xfId="0" applyBorder="1" applyAlignment="1"/>
    <xf numFmtId="0" fontId="0" fillId="0" borderId="47" xfId="0" applyBorder="1" applyAlignment="1"/>
    <xf numFmtId="0" fontId="24" fillId="21" borderId="44" xfId="0" applyFont="1" applyFill="1" applyBorder="1" applyAlignment="1">
      <alignment horizontal="center" vertical="center" wrapText="1"/>
    </xf>
    <xf numFmtId="0" fontId="3" fillId="2" borderId="48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center" vertical="center"/>
    </xf>
    <xf numFmtId="0" fontId="25" fillId="22" borderId="51" xfId="0" applyFont="1" applyFill="1" applyBorder="1" applyAlignment="1">
      <alignment horizontal="center" vertical="center"/>
    </xf>
    <xf numFmtId="0" fontId="26" fillId="23" borderId="52" xfId="0" applyFont="1" applyFill="1" applyBorder="1" applyAlignment="1">
      <alignment horizontal="center" vertical="center"/>
    </xf>
    <xf numFmtId="0" fontId="26" fillId="23" borderId="53" xfId="0" applyFont="1" applyFill="1" applyBorder="1" applyAlignment="1">
      <alignment horizontal="center" vertical="center"/>
    </xf>
    <xf numFmtId="0" fontId="25" fillId="24" borderId="51" xfId="0" applyFont="1" applyFill="1" applyBorder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0" fontId="26" fillId="25" borderId="53" xfId="0" applyFont="1" applyFill="1" applyBorder="1" applyAlignment="1">
      <alignment horizontal="center" vertical="center"/>
    </xf>
    <xf numFmtId="0" fontId="25" fillId="26" borderId="51" xfId="0" applyFont="1" applyFill="1" applyBorder="1" applyAlignment="1">
      <alignment horizontal="center" vertical="center"/>
    </xf>
    <xf numFmtId="0" fontId="26" fillId="27" borderId="52" xfId="0" applyFont="1" applyFill="1" applyBorder="1" applyAlignment="1">
      <alignment horizontal="center" vertical="center"/>
    </xf>
    <xf numFmtId="0" fontId="26" fillId="27" borderId="53" xfId="0" applyFont="1" applyFill="1" applyBorder="1" applyAlignment="1">
      <alignment horizontal="center" vertical="center"/>
    </xf>
    <xf numFmtId="0" fontId="26" fillId="17" borderId="51" xfId="0" applyFont="1" applyFill="1" applyBorder="1" applyAlignment="1">
      <alignment horizontal="center" vertical="center"/>
    </xf>
    <xf numFmtId="0" fontId="26" fillId="17" borderId="52" xfId="0" applyFont="1" applyFill="1" applyBorder="1" applyAlignment="1">
      <alignment horizontal="center" vertical="center"/>
    </xf>
    <xf numFmtId="0" fontId="26" fillId="17" borderId="53" xfId="0" applyFont="1" applyFill="1" applyBorder="1" applyAlignment="1">
      <alignment horizontal="center" vertical="center"/>
    </xf>
    <xf numFmtId="0" fontId="26" fillId="28" borderId="51" xfId="0" applyFont="1" applyFill="1" applyBorder="1" applyAlignment="1">
      <alignment horizontal="center" vertical="center"/>
    </xf>
    <xf numFmtId="0" fontId="26" fillId="28" borderId="52" xfId="0" applyFont="1" applyFill="1" applyBorder="1" applyAlignment="1">
      <alignment horizontal="center" vertical="center"/>
    </xf>
    <xf numFmtId="0" fontId="26" fillId="28" borderId="53" xfId="0" applyFont="1" applyFill="1" applyBorder="1" applyAlignment="1">
      <alignment horizontal="center" vertical="center"/>
    </xf>
    <xf numFmtId="0" fontId="26" fillId="17" borderId="54" xfId="0" applyFont="1" applyFill="1" applyBorder="1" applyAlignment="1">
      <alignment horizontal="center" vertical="center"/>
    </xf>
    <xf numFmtId="0" fontId="26" fillId="17" borderId="55" xfId="0" applyFont="1" applyFill="1" applyBorder="1" applyAlignment="1">
      <alignment horizontal="center" vertical="center"/>
    </xf>
    <xf numFmtId="0" fontId="26" fillId="17" borderId="56" xfId="0" applyFont="1" applyFill="1" applyBorder="1" applyAlignment="1">
      <alignment horizontal="center" vertical="center"/>
    </xf>
    <xf numFmtId="0" fontId="27" fillId="13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ont>
        <b val="1"/>
        <color rgb="FFC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PivotStylePreset2_Accent1" table="0" count="10" xr9:uid="{267968C8-6FFD-4C36-ACC1-9EA1FD1885CA}">
      <tableStyleElement type="headerRow" dxfId="32"/>
      <tableStyleElement type="totalRow" dxfId="31"/>
      <tableStyleElement type="firstRowStripe" dxfId="30"/>
      <tableStyleElement type="firstColumnStripe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5_111617" displayName="表5_111617" ref="A51:D65" totalsRowShown="0">
  <sortState ref="A51:D65">
    <sortCondition ref="C51:C65" descending="1"/>
  </sortState>
  <tableColumns count="4">
    <tableColumn id="1" name="客户经理" dataDxfId="0">
      <calculatedColumnFormula>商机统计!A2</calculatedColumnFormula>
    </tableColumn>
    <tableColumn id="2" name="户数" dataDxfId="1">
      <calculatedColumnFormula>商机统计!B2</calculatedColumnFormula>
    </tableColumn>
    <tableColumn id="3" name="高套累计数" dataDxfId="2">
      <calculatedColumnFormula>商机统计!C2</calculatedColumnFormula>
    </tableColumn>
    <tableColumn id="4" name="积分累计数" dataDxfId="3">
      <calculatedColumnFormula>商机统计!D2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表5_11" displayName="表5_11" ref="G51:H65" totalsRowShown="0">
  <sortState ref="G51:H65">
    <sortCondition ref="H51:H65" descending="1"/>
  </sortState>
  <tableColumns count="2">
    <tableColumn id="1" name="客户经理" dataDxfId="4">
      <calculatedColumnFormula>商机统计!F2</calculatedColumnFormula>
    </tableColumn>
    <tableColumn id="2" name="户数" dataDxfId="5">
      <calculatedColumnFormula>商机统计!G2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8"/>
    <tableColumn id="2" name="户数" dataDxfId="9"/>
    <tableColumn id="3" name="高套累计数" dataDxfId="10"/>
    <tableColumn id="4" name="积分累计数" dataDxfId="1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12"/>
    <tableColumn id="2" name="户数" dataDxfId="13"/>
    <tableColumn id="3" name="高套累计数" dataDxfId="14"/>
    <tableColumn id="4" name="积分累计数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4"/>
  <sheetViews>
    <sheetView tabSelected="1" workbookViewId="0">
      <selection activeCell="M36" sqref="M36"/>
    </sheetView>
  </sheetViews>
  <sheetFormatPr defaultColWidth="10.6363636363636" defaultRowHeight="14"/>
  <cols>
    <col min="4" max="4" width="9.25454545454545" style="11" customWidth="1"/>
    <col min="5" max="5" width="9.90909090909091" style="11" customWidth="1"/>
    <col min="6" max="7" width="9.25454545454545" style="11" customWidth="1"/>
    <col min="9" max="10" width="9.25454545454545" style="11" customWidth="1"/>
    <col min="11" max="11" width="10.9" style="11" customWidth="1"/>
    <col min="15" max="15" width="9.90909090909091" style="11" customWidth="1"/>
  </cols>
  <sheetData>
    <row r="1" ht="14.25" customHeight="1" spans="1:24">
      <c r="A1" s="12" t="s">
        <v>0</v>
      </c>
      <c r="B1" s="13" t="str">
        <f ca="1">"完美一单积分完成通报（截至"&amp;MONTH(TODAY()-1)&amp;"月"&amp;DAY(TODAY()-1)&amp;"日）"</f>
        <v>完美一单积分完成通报（截至6月24日）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5"/>
    </row>
    <row r="2" ht="16.5" customHeight="1" spans="1:24">
      <c r="A2" s="16"/>
      <c r="B2" s="13" t="s">
        <v>1</v>
      </c>
      <c r="C2" s="14"/>
      <c r="D2" s="14"/>
      <c r="E2" s="14"/>
      <c r="F2" s="14"/>
      <c r="G2" s="14"/>
      <c r="H2" s="15"/>
      <c r="I2" s="17"/>
      <c r="J2" s="13" t="s">
        <v>2</v>
      </c>
      <c r="K2" s="14"/>
      <c r="L2" s="14"/>
      <c r="M2" s="14"/>
      <c r="N2" s="14"/>
      <c r="O2" s="15"/>
      <c r="P2" s="13" t="s">
        <v>3</v>
      </c>
      <c r="Q2" s="14"/>
      <c r="R2" s="15"/>
    </row>
    <row r="3" ht="70" customHeight="1" spans="1:24">
      <c r="A3" s="18"/>
      <c r="B3" s="13" t="s">
        <v>4</v>
      </c>
      <c r="C3" s="13" t="s">
        <v>5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14</v>
      </c>
      <c r="M3" s="13" t="s">
        <v>8</v>
      </c>
      <c r="N3" s="13" t="s">
        <v>15</v>
      </c>
      <c r="O3" s="13" t="s">
        <v>16</v>
      </c>
      <c r="P3" s="13" t="s">
        <v>17</v>
      </c>
      <c r="Q3" s="13" t="s">
        <v>18</v>
      </c>
      <c r="R3" s="19" t="s">
        <v>19</v>
      </c>
    </row>
    <row r="4" ht="14.25" customHeight="1" spans="1:24">
      <c r="A4" s="12" t="s">
        <v>20</v>
      </c>
      <c r="B4" s="20" t="s">
        <v>21</v>
      </c>
      <c r="C4" s="20">
        <v>10</v>
      </c>
      <c r="D4" s="21">
        <f>_xlfn.XLOOKUP(B4,高套!A:A,高套!B:B,0)</f>
        <v>5</v>
      </c>
      <c r="E4" s="22">
        <f t="shared" ref="E4:E20" si="0">D4/C4</f>
        <v>0.5</v>
      </c>
      <c r="F4" s="23">
        <f ca="1">D4/(C4/X5*U$5)</f>
        <v>0.625</v>
      </c>
      <c r="G4" s="20">
        <f>_xlfn.XLOOKUP(B4,红黄牌高套!A:A,红黄牌高套!B:B,0)</f>
        <v>6.5</v>
      </c>
      <c r="H4" s="24" t="str">
        <f t="shared" ref="H4:H10" si="1">IF(G4&gt;=3,"否","是")</f>
        <v>否</v>
      </c>
      <c r="I4" s="20" t="str">
        <f t="shared" ref="I4:I10" si="2">IF(G4&gt;=15,"金牌",IF(G4&gt;=12,"银牌",""))</f>
        <v/>
      </c>
      <c r="J4" s="20">
        <v>2500</v>
      </c>
      <c r="K4" s="20">
        <f ca="1">VLOOKUP(B:B,完美一单!A:C,3,0)</f>
        <v>936</v>
      </c>
      <c r="L4" s="23">
        <f ca="1" t="shared" ref="L4:L20" si="3">K4/J4</f>
        <v>0.3744</v>
      </c>
      <c r="M4" s="23">
        <f ca="1">K4/(J4/X5*U$5)</f>
        <v>0.468</v>
      </c>
      <c r="N4" s="25">
        <f ca="1" t="shared" ref="N4:N10" si="4">VLOOKUP(B:B,V:X,3,0)</f>
        <v>12</v>
      </c>
      <c r="O4" s="25">
        <f ca="1">VLOOKUP(B:B,激励!A:B,2,0)</f>
        <v>3241.5</v>
      </c>
      <c r="P4" s="21">
        <v>15</v>
      </c>
      <c r="Q4" s="26">
        <f>_xlfn.XLOOKUP(B4,全光组网!A:A,全光组网!B:B,0)</f>
        <v>4</v>
      </c>
      <c r="R4" s="27">
        <f t="shared" ref="R4:R20" si="5">Q4/P4</f>
        <v>0.266666666666667</v>
      </c>
    </row>
    <row r="5" ht="16.5" customHeight="1" spans="1:24">
      <c r="A5" s="16"/>
      <c r="B5" s="20" t="s">
        <v>22</v>
      </c>
      <c r="C5" s="20">
        <v>10</v>
      </c>
      <c r="D5" s="21">
        <f>_xlfn.XLOOKUP(B5,高套!A:A,高套!B:B,0)</f>
        <v>1.5</v>
      </c>
      <c r="E5" s="22">
        <f t="shared" si="0"/>
        <v>0.15</v>
      </c>
      <c r="F5" s="23">
        <f ca="1">D5/(C5/X5*U$5)</f>
        <v>0.1875</v>
      </c>
      <c r="G5" s="20">
        <f>_xlfn.XLOOKUP(B5,红黄牌高套!A:A,红黄牌高套!B:B,0)</f>
        <v>6</v>
      </c>
      <c r="H5" s="24" t="str">
        <f t="shared" si="1"/>
        <v>否</v>
      </c>
      <c r="I5" s="20" t="str">
        <f t="shared" si="2"/>
        <v/>
      </c>
      <c r="J5" s="20">
        <v>2500</v>
      </c>
      <c r="K5" s="20">
        <f ca="1">VLOOKUP(B:B,完美一单!A:C,3,0)</f>
        <v>1059.34</v>
      </c>
      <c r="L5" s="23">
        <f ca="1" t="shared" si="3"/>
        <v>0.423736</v>
      </c>
      <c r="M5" s="23">
        <f ca="1">K5/(J5/X5*U$5)</f>
        <v>0.52967</v>
      </c>
      <c r="N5" s="25">
        <f ca="1" t="shared" si="4"/>
        <v>10</v>
      </c>
      <c r="O5" s="25">
        <f ca="1">VLOOKUP(B:B,激励!A:B,2,0)</f>
        <v>1774.27</v>
      </c>
      <c r="P5" s="21">
        <v>15</v>
      </c>
      <c r="Q5" s="26">
        <f>_xlfn.XLOOKUP(B5,全光组网!A:A,全光组网!B:B,0)</f>
        <v>0</v>
      </c>
      <c r="R5" s="27">
        <f t="shared" si="5"/>
        <v>0</v>
      </c>
      <c r="T5" s="28" t="str">
        <f ca="1">MONTH(TODAY()-1)&amp;"月"</f>
        <v>6月</v>
      </c>
      <c r="U5" s="28">
        <f ca="1">DAY(TODAY()-1)</f>
        <v>24</v>
      </c>
      <c r="V5" s="28"/>
      <c r="W5" s="29"/>
      <c r="X5">
        <f ca="1">DAY(EOMONTH(TODAY(),0))</f>
        <v>30</v>
      </c>
    </row>
    <row r="6" ht="16.5" customHeight="1" spans="1:24">
      <c r="A6" s="16"/>
      <c r="B6" s="20" t="s">
        <v>23</v>
      </c>
      <c r="C6" s="20">
        <v>10</v>
      </c>
      <c r="D6" s="21">
        <f>_xlfn.XLOOKUP(B6,高套!A:A,高套!B:B,0)</f>
        <v>8</v>
      </c>
      <c r="E6" s="22">
        <f t="shared" si="0"/>
        <v>0.8</v>
      </c>
      <c r="F6" s="23">
        <f ca="1">D6/(C6/X5*U$5)</f>
        <v>1</v>
      </c>
      <c r="G6" s="20">
        <f>_xlfn.XLOOKUP(B6,红黄牌高套!A:A,红黄牌高套!B:B,0)</f>
        <v>9.5</v>
      </c>
      <c r="H6" s="24" t="str">
        <f t="shared" si="1"/>
        <v>否</v>
      </c>
      <c r="I6" s="20" t="str">
        <f t="shared" si="2"/>
        <v/>
      </c>
      <c r="J6" s="20">
        <v>2500</v>
      </c>
      <c r="K6" s="20">
        <f ca="1">VLOOKUP(B:B,完美一单!A:C,3,0)</f>
        <v>1445.54</v>
      </c>
      <c r="L6" s="23">
        <f ca="1" t="shared" si="3"/>
        <v>0.578216</v>
      </c>
      <c r="M6" s="23">
        <f ca="1">K6/(J6/X5*U$5)</f>
        <v>0.72277</v>
      </c>
      <c r="N6" s="25">
        <f ca="1" t="shared" si="4"/>
        <v>8</v>
      </c>
      <c r="O6" s="25">
        <f ca="1">VLOOKUP(B:B,激励!A:B,2,0)</f>
        <v>4097.34</v>
      </c>
      <c r="P6" s="21">
        <v>15</v>
      </c>
      <c r="Q6" s="26">
        <f>_xlfn.XLOOKUP(B6,全光组网!A:A,全光组网!B:B,0)</f>
        <v>0</v>
      </c>
      <c r="R6" s="27">
        <f t="shared" si="5"/>
        <v>0</v>
      </c>
    </row>
    <row r="7" ht="16.5" customHeight="1" spans="1:24">
      <c r="A7" s="16"/>
      <c r="B7" s="20" t="s">
        <v>24</v>
      </c>
      <c r="C7" s="20">
        <v>10</v>
      </c>
      <c r="D7" s="21">
        <f>_xlfn.XLOOKUP(B7,高套!A:A,高套!B:B,0)</f>
        <v>4</v>
      </c>
      <c r="E7" s="22">
        <f t="shared" si="0"/>
        <v>0.4</v>
      </c>
      <c r="F7" s="23">
        <f ca="1">D7/(C7/X5*U$5)</f>
        <v>0.5</v>
      </c>
      <c r="G7" s="20">
        <f>_xlfn.XLOOKUP(B7,红黄牌高套!A:A,红黄牌高套!B:B,0)</f>
        <v>5.5</v>
      </c>
      <c r="H7" s="24" t="str">
        <f t="shared" si="1"/>
        <v>否</v>
      </c>
      <c r="I7" s="20" t="str">
        <f t="shared" si="2"/>
        <v/>
      </c>
      <c r="J7" s="20">
        <v>2500</v>
      </c>
      <c r="K7" s="20">
        <f ca="1">VLOOKUP(B:B,完美一单!A:C,3,0)+2500</f>
        <v>3536.17</v>
      </c>
      <c r="L7" s="23">
        <f ca="1" t="shared" si="3"/>
        <v>1.414468</v>
      </c>
      <c r="M7" s="23">
        <f ca="1">K7/(J7/X5*U$5)</f>
        <v>1.768085</v>
      </c>
      <c r="N7" s="25">
        <f ca="1" t="shared" si="4"/>
        <v>2</v>
      </c>
      <c r="O7" s="25">
        <f ca="1">VLOOKUP(B:B,激励!A:B,2,0)</f>
        <v>2635.98</v>
      </c>
      <c r="P7" s="21">
        <v>15</v>
      </c>
      <c r="Q7" s="26">
        <f>_xlfn.XLOOKUP(B7,全光组网!A:A,全光组网!B:B,0)</f>
        <v>3</v>
      </c>
      <c r="R7" s="27">
        <f t="shared" si="5"/>
        <v>0.2</v>
      </c>
    </row>
    <row r="8" ht="16.5" customHeight="1" spans="1:24">
      <c r="A8" s="16"/>
      <c r="B8" s="20" t="s">
        <v>25</v>
      </c>
      <c r="C8" s="20">
        <v>10</v>
      </c>
      <c r="D8" s="21">
        <f>_xlfn.XLOOKUP(B8,高套!A:A,高套!B:B,0)</f>
        <v>9</v>
      </c>
      <c r="E8" s="22">
        <f t="shared" si="0"/>
        <v>0.9</v>
      </c>
      <c r="F8" s="23">
        <f ca="1">D8/(C8/X5*U$5)</f>
        <v>1.125</v>
      </c>
      <c r="G8" s="20">
        <f>_xlfn.XLOOKUP(B8,红黄牌高套!A:A,红黄牌高套!B:B,0)</f>
        <v>9</v>
      </c>
      <c r="H8" s="24" t="str">
        <f t="shared" si="1"/>
        <v>否</v>
      </c>
      <c r="I8" s="20" t="str">
        <f t="shared" si="2"/>
        <v/>
      </c>
      <c r="J8" s="20">
        <v>2500</v>
      </c>
      <c r="K8" s="20">
        <f ca="1">VLOOKUP(B:B,完美一单!A:C,3,0)</f>
        <v>1231.67</v>
      </c>
      <c r="L8" s="23">
        <f ca="1" t="shared" si="3"/>
        <v>0.492668</v>
      </c>
      <c r="M8" s="23">
        <f ca="1">K8/(J8/X5*U$5)</f>
        <v>0.615835</v>
      </c>
      <c r="N8" s="25">
        <f ca="1" t="shared" si="4"/>
        <v>9</v>
      </c>
      <c r="O8" s="25">
        <f ca="1">VLOOKUP(B:B,激励!A:B,2,0)</f>
        <v>2732</v>
      </c>
      <c r="P8" s="21">
        <v>15</v>
      </c>
      <c r="Q8" s="26">
        <f>_xlfn.XLOOKUP(B8,全光组网!A:A,全光组网!B:B,0)</f>
        <v>13</v>
      </c>
      <c r="R8" s="27">
        <f t="shared" si="5"/>
        <v>0.866666666666667</v>
      </c>
    </row>
    <row r="9" ht="16.5" customHeight="1" spans="1:24">
      <c r="A9" s="16"/>
      <c r="B9" s="20" t="s">
        <v>26</v>
      </c>
      <c r="C9" s="20">
        <v>10</v>
      </c>
      <c r="D9" s="21">
        <f>_xlfn.XLOOKUP(B9,高套!A:A,高套!B:B,0)</f>
        <v>8</v>
      </c>
      <c r="E9" s="22">
        <f t="shared" si="0"/>
        <v>0.8</v>
      </c>
      <c r="F9" s="23">
        <f ca="1">D9/(C9/X5*U$5)</f>
        <v>1</v>
      </c>
      <c r="G9" s="20">
        <f>_xlfn.XLOOKUP(B9,红黄牌高套!A:A,红黄牌高套!B:B,0)</f>
        <v>14.5</v>
      </c>
      <c r="H9" s="24" t="str">
        <f t="shared" si="1"/>
        <v>否</v>
      </c>
      <c r="I9" s="20" t="str">
        <f t="shared" si="2"/>
        <v>银牌</v>
      </c>
      <c r="J9" s="20">
        <v>2500</v>
      </c>
      <c r="K9" s="20">
        <f ca="1">VLOOKUP(B:B,完美一单!A:C,3,0)</f>
        <v>2619.81</v>
      </c>
      <c r="L9" s="23">
        <f ca="1" t="shared" si="3"/>
        <v>1.047924</v>
      </c>
      <c r="M9" s="23">
        <f ca="1">K9/(J9/X5*U$5)</f>
        <v>1.309905</v>
      </c>
      <c r="N9" s="25">
        <f ca="1" t="shared" si="4"/>
        <v>6</v>
      </c>
      <c r="O9" s="25">
        <f ca="1">VLOOKUP(B:B,激励!A:B,2,0)</f>
        <v>5748</v>
      </c>
      <c r="P9" s="21">
        <v>15</v>
      </c>
      <c r="Q9" s="26">
        <f>_xlfn.XLOOKUP(B9,全光组网!A:A,全光组网!B:B,0)</f>
        <v>2</v>
      </c>
      <c r="R9" s="27">
        <f t="shared" si="5"/>
        <v>0.133333333333333</v>
      </c>
      <c r="V9" s="30" t="s">
        <v>21</v>
      </c>
      <c r="W9">
        <f ca="1">VLOOKUP(V:V,B:K,10,0)</f>
        <v>936</v>
      </c>
      <c r="X9">
        <f ca="1" t="shared" ref="X9:X22" si="6">RANK(W9,W$9:W$22,0)</f>
        <v>12</v>
      </c>
    </row>
    <row r="10" ht="16.5" customHeight="1" spans="1:24">
      <c r="A10" s="16"/>
      <c r="B10" s="20" t="s">
        <v>27</v>
      </c>
      <c r="C10" s="20">
        <v>10</v>
      </c>
      <c r="D10" s="21">
        <f>_xlfn.XLOOKUP(B10,高套!A:A,高套!B:B,0)</f>
        <v>0</v>
      </c>
      <c r="E10" s="22">
        <f t="shared" si="0"/>
        <v>0</v>
      </c>
      <c r="F10" s="23">
        <f ca="1">D10/(C10/X5*U$5)</f>
        <v>0</v>
      </c>
      <c r="G10" s="20">
        <f>_xlfn.XLOOKUP(B10,红黄牌高套!A:A,红黄牌高套!B:B,0)</f>
        <v>3</v>
      </c>
      <c r="H10" s="24" t="str">
        <f t="shared" si="1"/>
        <v>否</v>
      </c>
      <c r="I10" s="20" t="str">
        <f t="shared" si="2"/>
        <v/>
      </c>
      <c r="J10" s="20">
        <v>2500</v>
      </c>
      <c r="K10" s="20">
        <f ca="1">VLOOKUP(B:B,完美一单!A:C,3,0)</f>
        <v>2978</v>
      </c>
      <c r="L10" s="23">
        <f ca="1" t="shared" si="3"/>
        <v>1.1912</v>
      </c>
      <c r="M10" s="23">
        <f ca="1">K10/(J10/X5*U$5)</f>
        <v>1.489</v>
      </c>
      <c r="N10" s="25">
        <f ca="1" t="shared" si="4"/>
        <v>4</v>
      </c>
      <c r="O10" s="25">
        <f ca="1">VLOOKUP(B:B,激励!A:B,2,0)</f>
        <v>3704</v>
      </c>
      <c r="P10" s="21">
        <v>15</v>
      </c>
      <c r="Q10" s="26">
        <f>_xlfn.XLOOKUP(B10,全光组网!A:A,全光组网!B:B,0)</f>
        <v>0</v>
      </c>
      <c r="R10" s="27">
        <f t="shared" si="5"/>
        <v>0</v>
      </c>
      <c r="V10" s="30" t="s">
        <v>22</v>
      </c>
      <c r="W10">
        <f ca="1">VLOOKUP(V:V,B:K,10,0)</f>
        <v>1059.34</v>
      </c>
      <c r="X10">
        <f ca="1" t="shared" si="6"/>
        <v>10</v>
      </c>
    </row>
    <row r="11" ht="16.5" customHeight="1" spans="1:24">
      <c r="A11" s="18"/>
      <c r="B11" s="31" t="s">
        <v>28</v>
      </c>
      <c r="C11" s="31">
        <f>SUM(C4:C10)</f>
        <v>70</v>
      </c>
      <c r="D11" s="31">
        <f>SUM(D4:D10)</f>
        <v>35.5</v>
      </c>
      <c r="E11" s="32">
        <f t="shared" si="0"/>
        <v>0.507142857142857</v>
      </c>
      <c r="F11" s="32">
        <f ca="1">D11/(C11/X5*U$5)</f>
        <v>0.633928571428571</v>
      </c>
      <c r="G11" s="31">
        <f>SUM(G4:G10)</f>
        <v>54</v>
      </c>
      <c r="H11" s="32"/>
      <c r="I11" s="33"/>
      <c r="J11" s="33">
        <f>SUM(J4:J10)</f>
        <v>17500</v>
      </c>
      <c r="K11" s="31">
        <f ca="1">SUM(K4:K10)</f>
        <v>13806.53</v>
      </c>
      <c r="L11" s="32">
        <f ca="1" t="shared" si="3"/>
        <v>0.788944571428571</v>
      </c>
      <c r="M11" s="32">
        <f ca="1">K11/(J11/X5*U$5)</f>
        <v>0.986180714285714</v>
      </c>
      <c r="N11" s="31"/>
      <c r="O11" s="33"/>
      <c r="P11" s="31">
        <f>SUM(P4:P10)</f>
        <v>105</v>
      </c>
      <c r="Q11" s="31">
        <f>SUM(Q4:Q10)</f>
        <v>22</v>
      </c>
      <c r="R11" s="34">
        <f t="shared" si="5"/>
        <v>0.20952380952381</v>
      </c>
      <c r="V11" s="30" t="s">
        <v>23</v>
      </c>
      <c r="W11">
        <f ca="1">VLOOKUP(V:V,B:K,10,0)</f>
        <v>1445.54</v>
      </c>
      <c r="X11">
        <f ca="1" t="shared" si="6"/>
        <v>8</v>
      </c>
    </row>
    <row r="12" ht="14.25" customHeight="1" spans="1:24">
      <c r="A12" s="13" t="s">
        <v>29</v>
      </c>
      <c r="B12" s="20" t="s">
        <v>30</v>
      </c>
      <c r="C12" s="20">
        <v>10</v>
      </c>
      <c r="D12" s="21">
        <f>_xlfn.XLOOKUP(B12,高套!A:A,高套!B:B,0)</f>
        <v>14</v>
      </c>
      <c r="E12" s="22">
        <f t="shared" si="0"/>
        <v>1.4</v>
      </c>
      <c r="F12" s="23">
        <f ca="1">D12/(C12/X5*U$5)</f>
        <v>1.75</v>
      </c>
      <c r="G12" s="20">
        <f>_xlfn.XLOOKUP(B12,红黄牌高套!A:A,红黄牌高套!B:B,0)</f>
        <v>18</v>
      </c>
      <c r="H12" s="24" t="str">
        <f t="shared" ref="H12:H18" si="7">IF(G12&gt;=3,"否","是")</f>
        <v>否</v>
      </c>
      <c r="I12" s="20" t="str">
        <f t="shared" ref="I12:I18" si="8">IF(G12&gt;=15,"金牌",IF(G12&gt;=12,"银牌",""))</f>
        <v>金牌</v>
      </c>
      <c r="J12" s="20">
        <v>2500</v>
      </c>
      <c r="K12" s="20">
        <f ca="1">VLOOKUP(B:B,完美一单!A:C,3,0)</f>
        <v>3446</v>
      </c>
      <c r="L12" s="23">
        <f ca="1" t="shared" si="3"/>
        <v>1.3784</v>
      </c>
      <c r="M12" s="23">
        <f ca="1">K12/(J12/X5*U$5)</f>
        <v>1.723</v>
      </c>
      <c r="N12" s="25">
        <f ca="1" t="shared" ref="N12:N18" si="9">VLOOKUP(B:B,V:X,3,0)</f>
        <v>3</v>
      </c>
      <c r="O12" s="25">
        <f ca="1">VLOOKUP(B:B,激励!A:B,2,0)</f>
        <v>13055</v>
      </c>
      <c r="P12" s="21">
        <v>15</v>
      </c>
      <c r="Q12" s="26">
        <f>_xlfn.XLOOKUP(B12,全光组网!A:A,全光组网!B:B,0)</f>
        <v>17</v>
      </c>
      <c r="R12" s="27">
        <f t="shared" si="5"/>
        <v>1.13333333333333</v>
      </c>
      <c r="V12" s="30" t="s">
        <v>24</v>
      </c>
      <c r="W12">
        <f ca="1">VLOOKUP(V:V,B:K,10,0)</f>
        <v>3536.17</v>
      </c>
      <c r="X12">
        <f ca="1" t="shared" si="6"/>
        <v>2</v>
      </c>
    </row>
    <row r="13" ht="16.5" customHeight="1" spans="1:24">
      <c r="A13" s="35"/>
      <c r="B13" s="20" t="s">
        <v>31</v>
      </c>
      <c r="C13" s="20">
        <v>10</v>
      </c>
      <c r="D13" s="21">
        <f>_xlfn.XLOOKUP(B13,高套!A:A,高套!B:B,0)</f>
        <v>18.98</v>
      </c>
      <c r="E13" s="22">
        <f t="shared" si="0"/>
        <v>1.898</v>
      </c>
      <c r="F13" s="23">
        <f ca="1">D13/(C13/X5*U$5)</f>
        <v>2.3725</v>
      </c>
      <c r="G13" s="20">
        <f>_xlfn.XLOOKUP(B13,红黄牌高套!A:A,红黄牌高套!B:B,0)</f>
        <v>22.98</v>
      </c>
      <c r="H13" s="24" t="str">
        <f t="shared" si="7"/>
        <v>否</v>
      </c>
      <c r="I13" s="20" t="str">
        <f t="shared" si="8"/>
        <v>金牌</v>
      </c>
      <c r="J13" s="20">
        <v>2500</v>
      </c>
      <c r="K13" s="20">
        <f ca="1">VLOOKUP(B:B,完美一单!A:C,3,0)</f>
        <v>2703.2</v>
      </c>
      <c r="L13" s="23">
        <f ca="1" t="shared" si="3"/>
        <v>1.08128</v>
      </c>
      <c r="M13" s="23">
        <f ca="1">K13/(J13/X5*U$5)</f>
        <v>1.3516</v>
      </c>
      <c r="N13" s="25">
        <f ca="1" t="shared" si="9"/>
        <v>5</v>
      </c>
      <c r="O13" s="25">
        <f ca="1">VLOOKUP(B:B,激励!A:B,2,0)</f>
        <v>6851.8</v>
      </c>
      <c r="P13" s="21">
        <v>15</v>
      </c>
      <c r="Q13" s="26">
        <f>_xlfn.XLOOKUP(B13,全光组网!A:A,全光组网!B:B,0)</f>
        <v>26</v>
      </c>
      <c r="R13" s="27">
        <f t="shared" si="5"/>
        <v>1.73333333333333</v>
      </c>
      <c r="V13" s="30" t="s">
        <v>25</v>
      </c>
      <c r="W13">
        <f ca="1">VLOOKUP(V:V,B:K,10,0)</f>
        <v>1231.67</v>
      </c>
      <c r="X13">
        <f ca="1" t="shared" si="6"/>
        <v>9</v>
      </c>
    </row>
    <row r="14" ht="16.5" customHeight="1" spans="1:24">
      <c r="A14" s="35"/>
      <c r="B14" s="20" t="s">
        <v>32</v>
      </c>
      <c r="C14" s="20">
        <v>10</v>
      </c>
      <c r="D14" s="21">
        <f>_xlfn.XLOOKUP(B14,高套!A:A,高套!B:B,0)</f>
        <v>4.5</v>
      </c>
      <c r="E14" s="22">
        <f t="shared" si="0"/>
        <v>0.45</v>
      </c>
      <c r="F14" s="23">
        <f ca="1">D14/(C14/X5*U$5)</f>
        <v>0.5625</v>
      </c>
      <c r="G14" s="20">
        <f>_xlfn.XLOOKUP(B14,红黄牌高套!A:A,红黄牌高套!B:B,0)</f>
        <v>4.5</v>
      </c>
      <c r="H14" s="24" t="str">
        <f t="shared" si="7"/>
        <v>否</v>
      </c>
      <c r="I14" s="20" t="str">
        <f t="shared" si="8"/>
        <v/>
      </c>
      <c r="J14" s="20">
        <v>2500</v>
      </c>
      <c r="K14" s="20">
        <f ca="1">VLOOKUP(B:B,完美一单!A:C,3,0)</f>
        <v>828</v>
      </c>
      <c r="L14" s="23">
        <f ca="1" t="shared" si="3"/>
        <v>0.3312</v>
      </c>
      <c r="M14" s="23">
        <f ca="1">K14/(J14/X5*U$5)</f>
        <v>0.414</v>
      </c>
      <c r="N14" s="25">
        <f ca="1" t="shared" si="9"/>
        <v>13</v>
      </c>
      <c r="O14" s="25">
        <f ca="1">VLOOKUP(B:B,激励!A:B,2,0)</f>
        <v>2439</v>
      </c>
      <c r="P14" s="21">
        <v>15</v>
      </c>
      <c r="Q14" s="26">
        <f>_xlfn.XLOOKUP(B14,全光组网!A:A,全光组网!B:B,0)</f>
        <v>3</v>
      </c>
      <c r="R14" s="27">
        <f t="shared" si="5"/>
        <v>0.2</v>
      </c>
      <c r="V14" s="30" t="s">
        <v>26</v>
      </c>
      <c r="W14">
        <f ca="1" t="shared" ref="W14:W22" si="10">VLOOKUP(V:V,B:K,10,0)</f>
        <v>2619.81</v>
      </c>
      <c r="X14">
        <f ca="1" t="shared" si="6"/>
        <v>6</v>
      </c>
    </row>
    <row r="15" ht="16.5" customHeight="1" spans="1:24">
      <c r="A15" s="35"/>
      <c r="B15" s="20" t="s">
        <v>33</v>
      </c>
      <c r="C15" s="20">
        <v>10</v>
      </c>
      <c r="D15" s="21">
        <f>_xlfn.XLOOKUP(B15,高套!A:A,高套!B:B,0)</f>
        <v>12.5</v>
      </c>
      <c r="E15" s="22">
        <f t="shared" si="0"/>
        <v>1.25</v>
      </c>
      <c r="F15" s="23">
        <f ca="1">D15/(C15/X5*U$5)</f>
        <v>1.5625</v>
      </c>
      <c r="G15" s="20">
        <f>_xlfn.XLOOKUP(B15,红黄牌高套!A:A,红黄牌高套!B:B,0)</f>
        <v>15</v>
      </c>
      <c r="H15" s="24" t="str">
        <f t="shared" si="7"/>
        <v>否</v>
      </c>
      <c r="I15" s="20" t="str">
        <f t="shared" si="8"/>
        <v>金牌</v>
      </c>
      <c r="J15" s="20">
        <v>2500</v>
      </c>
      <c r="K15" s="20">
        <f ca="1">VLOOKUP(B:B,完美一单!A:C,3,0)</f>
        <v>3907</v>
      </c>
      <c r="L15" s="23">
        <f ca="1" t="shared" si="3"/>
        <v>1.5628</v>
      </c>
      <c r="M15" s="23">
        <f ca="1">K15/(J15/X5*U$5)</f>
        <v>1.9535</v>
      </c>
      <c r="N15" s="25">
        <f ca="1" t="shared" si="9"/>
        <v>1</v>
      </c>
      <c r="O15" s="25">
        <f ca="1">VLOOKUP(B:B,激励!A:B,2,0)</f>
        <v>11230</v>
      </c>
      <c r="P15" s="21">
        <v>15</v>
      </c>
      <c r="Q15" s="26">
        <f>_xlfn.XLOOKUP(B15,全光组网!A:A,全光组网!B:B,0)</f>
        <v>11</v>
      </c>
      <c r="R15" s="27">
        <f t="shared" si="5"/>
        <v>0.733333333333333</v>
      </c>
      <c r="V15" s="30" t="s">
        <v>27</v>
      </c>
      <c r="W15">
        <f ca="1" t="shared" si="10"/>
        <v>2978</v>
      </c>
      <c r="X15">
        <f ca="1" t="shared" si="6"/>
        <v>4</v>
      </c>
    </row>
    <row r="16" ht="16.5" customHeight="1" spans="1:24">
      <c r="A16" s="35"/>
      <c r="B16" s="20" t="s">
        <v>34</v>
      </c>
      <c r="C16" s="20">
        <v>10</v>
      </c>
      <c r="D16" s="21">
        <f>_xlfn.XLOOKUP(B16,高套!A:A,高套!B:B,0)</f>
        <v>14</v>
      </c>
      <c r="E16" s="22">
        <f t="shared" si="0"/>
        <v>1.4</v>
      </c>
      <c r="F16" s="23">
        <f ca="1">D16/(C16/X5*U$5)</f>
        <v>1.75</v>
      </c>
      <c r="G16" s="20">
        <f>_xlfn.XLOOKUP(B16,红黄牌高套!A:A,红黄牌高套!B:B,0)</f>
        <v>14</v>
      </c>
      <c r="H16" s="24" t="str">
        <f t="shared" si="7"/>
        <v>否</v>
      </c>
      <c r="I16" s="20" t="str">
        <f t="shared" si="8"/>
        <v>银牌</v>
      </c>
      <c r="J16" s="20">
        <v>2500</v>
      </c>
      <c r="K16" s="20">
        <f ca="1">VLOOKUP(B:B,完美一单!A:C,3,0)</f>
        <v>2137.65</v>
      </c>
      <c r="L16" s="23">
        <f ca="1" t="shared" si="3"/>
        <v>0.85506</v>
      </c>
      <c r="M16" s="23">
        <f ca="1">K16/(J16/X5*U$5)</f>
        <v>1.068825</v>
      </c>
      <c r="N16" s="25">
        <f ca="1" t="shared" si="9"/>
        <v>7</v>
      </c>
      <c r="O16" s="25">
        <f ca="1">VLOOKUP(B:B,激励!A:B,2,0)</f>
        <v>6539.605</v>
      </c>
      <c r="P16" s="21">
        <v>15</v>
      </c>
      <c r="Q16" s="26">
        <f>_xlfn.XLOOKUP(B16,全光组网!A:A,全光组网!B:B,0)</f>
        <v>16</v>
      </c>
      <c r="R16" s="27">
        <f t="shared" si="5"/>
        <v>1.06666666666667</v>
      </c>
      <c r="V16" s="30" t="s">
        <v>30</v>
      </c>
      <c r="W16">
        <f ca="1" t="shared" si="10"/>
        <v>3446</v>
      </c>
      <c r="X16">
        <f ca="1" t="shared" si="6"/>
        <v>3</v>
      </c>
    </row>
    <row r="17" ht="16.5" customHeight="1" spans="1:24">
      <c r="A17" s="35"/>
      <c r="B17" s="20" t="s">
        <v>35</v>
      </c>
      <c r="C17" s="20">
        <v>10</v>
      </c>
      <c r="D17" s="21">
        <f>_xlfn.XLOOKUP(B17,高套!A:A,高套!B:B,0)</f>
        <v>10</v>
      </c>
      <c r="E17" s="22">
        <f t="shared" si="0"/>
        <v>1</v>
      </c>
      <c r="F17" s="23">
        <f ca="1">D17/(C17/X5*U$5)</f>
        <v>1.25</v>
      </c>
      <c r="G17" s="20">
        <f>_xlfn.XLOOKUP(B17,红黄牌高套!A:A,红黄牌高套!B:B,0)</f>
        <v>10</v>
      </c>
      <c r="H17" s="24" t="str">
        <f t="shared" si="7"/>
        <v>否</v>
      </c>
      <c r="I17" s="20" t="str">
        <f t="shared" si="8"/>
        <v/>
      </c>
      <c r="J17" s="20">
        <v>2500</v>
      </c>
      <c r="K17" s="20">
        <f ca="1">VLOOKUP(B:B,完美一单!A:C,3,0)</f>
        <v>1019</v>
      </c>
      <c r="L17" s="23">
        <f ca="1" t="shared" si="3"/>
        <v>0.4076</v>
      </c>
      <c r="M17" s="23">
        <f ca="1">K17/(J17/X5*U$5)</f>
        <v>0.5095</v>
      </c>
      <c r="N17" s="25">
        <f ca="1" t="shared" si="9"/>
        <v>11</v>
      </c>
      <c r="O17" s="25">
        <f ca="1">VLOOKUP(B:B,激励!A:B,2,0)</f>
        <v>4800.64</v>
      </c>
      <c r="P17" s="21">
        <v>15</v>
      </c>
      <c r="Q17" s="26">
        <f>_xlfn.XLOOKUP(B17,全光组网!A:A,全光组网!B:B,0)</f>
        <v>9</v>
      </c>
      <c r="R17" s="27">
        <f t="shared" si="5"/>
        <v>0.6</v>
      </c>
      <c r="V17" s="30" t="s">
        <v>31</v>
      </c>
      <c r="W17">
        <f ca="1" t="shared" si="10"/>
        <v>2703.2</v>
      </c>
      <c r="X17">
        <f ca="1" t="shared" si="6"/>
        <v>5</v>
      </c>
    </row>
    <row r="18" ht="16.5" customHeight="1" spans="1:24">
      <c r="A18" s="35"/>
      <c r="B18" s="20" t="s">
        <v>36</v>
      </c>
      <c r="C18" s="20">
        <v>10</v>
      </c>
      <c r="D18" s="21">
        <f>_xlfn.XLOOKUP(B18,高套!A:A,高套!B:B,0)</f>
        <v>3.5</v>
      </c>
      <c r="E18" s="22">
        <f t="shared" si="0"/>
        <v>0.35</v>
      </c>
      <c r="F18" s="23">
        <f ca="1">D18/(C18/X5*U$5)</f>
        <v>0.4375</v>
      </c>
      <c r="G18" s="20">
        <f>_xlfn.XLOOKUP(B18,红黄牌高套!A:A,红黄牌高套!B:B,0)</f>
        <v>3.5</v>
      </c>
      <c r="H18" s="24" t="str">
        <f t="shared" si="7"/>
        <v>否</v>
      </c>
      <c r="I18" s="20" t="str">
        <f t="shared" si="8"/>
        <v/>
      </c>
      <c r="J18" s="20">
        <v>2500</v>
      </c>
      <c r="K18" s="20">
        <f ca="1">VLOOKUP(B:B,完美一单!A:C,3,0)</f>
        <v>-127.05</v>
      </c>
      <c r="L18" s="23">
        <f ca="1" t="shared" si="3"/>
        <v>-0.05082</v>
      </c>
      <c r="M18" s="23">
        <f ca="1">K18/(J18/X5*U$5)</f>
        <v>-0.063525</v>
      </c>
      <c r="N18" s="25">
        <f ca="1" t="shared" si="9"/>
        <v>14</v>
      </c>
      <c r="O18" s="25">
        <f ca="1">VLOOKUP(B:B,激励!A:B,2,0)</f>
        <v>-210.575</v>
      </c>
      <c r="P18" s="21">
        <v>15</v>
      </c>
      <c r="Q18" s="26">
        <f>_xlfn.XLOOKUP(B18,全光组网!A:A,全光组网!B:B,0)</f>
        <v>6</v>
      </c>
      <c r="R18" s="27">
        <f t="shared" si="5"/>
        <v>0.4</v>
      </c>
      <c r="V18" s="30" t="s">
        <v>32</v>
      </c>
      <c r="W18">
        <f ca="1" t="shared" si="10"/>
        <v>828</v>
      </c>
      <c r="X18">
        <f ca="1" t="shared" si="6"/>
        <v>13</v>
      </c>
    </row>
    <row r="19" ht="16.5" customHeight="1" spans="1:24">
      <c r="A19" s="36"/>
      <c r="B19" s="37" t="s">
        <v>28</v>
      </c>
      <c r="C19" s="37">
        <f>SUM(C12:C18)</f>
        <v>70</v>
      </c>
      <c r="D19" s="37">
        <f>SUM(D12:D18)</f>
        <v>77.48</v>
      </c>
      <c r="E19" s="38">
        <f t="shared" si="0"/>
        <v>1.10685714285714</v>
      </c>
      <c r="F19" s="32">
        <f ca="1">D19/(C19/X5*U$5)</f>
        <v>1.38357142857143</v>
      </c>
      <c r="G19" s="37">
        <f>SUM(G12:G18)</f>
        <v>87.98</v>
      </c>
      <c r="H19" s="38"/>
      <c r="I19" s="39"/>
      <c r="J19" s="39">
        <f>SUM(J12:J18)</f>
        <v>17500</v>
      </c>
      <c r="K19" s="37">
        <f ca="1">SUM(K12:K18)</f>
        <v>13913.8</v>
      </c>
      <c r="L19" s="38">
        <f ca="1" t="shared" si="3"/>
        <v>0.795074285714286</v>
      </c>
      <c r="M19" s="38">
        <f ca="1">K19/(J19/X5*U$5)</f>
        <v>0.993842857142857</v>
      </c>
      <c r="N19" s="37"/>
      <c r="O19" s="39"/>
      <c r="P19" s="37">
        <f>SUM(P12:P18)</f>
        <v>105</v>
      </c>
      <c r="Q19" s="37">
        <f>SUM(Q12:Q18)</f>
        <v>88</v>
      </c>
      <c r="R19" s="34">
        <f t="shared" si="5"/>
        <v>0.838095238095238</v>
      </c>
      <c r="V19" s="30" t="s">
        <v>33</v>
      </c>
      <c r="W19">
        <f ca="1" t="shared" si="10"/>
        <v>3907</v>
      </c>
      <c r="X19">
        <f ca="1" t="shared" si="6"/>
        <v>1</v>
      </c>
    </row>
    <row r="20" ht="15" customHeight="1" spans="1:24">
      <c r="A20" s="40" t="s">
        <v>37</v>
      </c>
      <c r="B20" s="41"/>
      <c r="C20" s="42">
        <v>132</v>
      </c>
      <c r="D20" s="43">
        <f>_xlfn.XLOOKUP("端州",高套!A:A,高套!B:B,0)</f>
        <v>114.48</v>
      </c>
      <c r="E20" s="44">
        <f t="shared" si="0"/>
        <v>0.867272727272727</v>
      </c>
      <c r="F20" s="45">
        <f ca="1">D20/(C20/X5*U$5)</f>
        <v>1.08409090909091</v>
      </c>
      <c r="G20" s="46">
        <f>G11+G19</f>
        <v>141.98</v>
      </c>
      <c r="H20" s="45"/>
      <c r="I20" s="47"/>
      <c r="J20" s="48">
        <f>J11+J19</f>
        <v>35000</v>
      </c>
      <c r="K20" s="42">
        <f ca="1">K11+K19</f>
        <v>27720.33</v>
      </c>
      <c r="L20" s="49">
        <f ca="1" t="shared" si="3"/>
        <v>0.792009428571429</v>
      </c>
      <c r="M20" s="50">
        <f ca="1">K20/(J20/X5*U$5)</f>
        <v>0.990011785714286</v>
      </c>
      <c r="N20" s="51"/>
      <c r="O20" s="52" t="s">
        <v>38</v>
      </c>
      <c r="P20" s="53">
        <v>210</v>
      </c>
      <c r="Q20" s="54">
        <f>Q11+Q19</f>
        <v>110</v>
      </c>
      <c r="R20" s="27">
        <f t="shared" si="5"/>
        <v>0.523809523809524</v>
      </c>
      <c r="V20" s="30" t="s">
        <v>34</v>
      </c>
      <c r="W20">
        <f ca="1" t="shared" si="10"/>
        <v>2137.65</v>
      </c>
      <c r="X20">
        <f ca="1" t="shared" si="6"/>
        <v>7</v>
      </c>
    </row>
    <row r="21" ht="15" customHeight="1" spans="1:24">
      <c r="A21" s="18"/>
      <c r="B21" s="55"/>
      <c r="C21" s="55"/>
      <c r="D21" s="55"/>
      <c r="E21" s="55"/>
      <c r="F21" s="36"/>
      <c r="G21" s="55"/>
      <c r="H21" s="36"/>
      <c r="I21" s="56"/>
      <c r="J21" s="55"/>
      <c r="K21" s="55"/>
      <c r="L21" s="56"/>
      <c r="M21" s="36"/>
      <c r="N21" s="57"/>
      <c r="O21" s="52" t="s">
        <v>39</v>
      </c>
      <c r="P21" s="58">
        <v>310</v>
      </c>
      <c r="Q21" s="59">
        <f>_xlfn.XLOOKUP(O21,全光组网!A:A,全光组网!B:B,0)</f>
        <v>274</v>
      </c>
      <c r="R21" s="27">
        <f>Q21/P21</f>
        <v>0.883870967741936</v>
      </c>
      <c r="V21" s="60" t="s">
        <v>36</v>
      </c>
      <c r="W21">
        <f ca="1" t="shared" si="10"/>
        <v>-127.05</v>
      </c>
      <c r="X21">
        <f ca="1" t="shared" si="6"/>
        <v>14</v>
      </c>
    </row>
    <row r="22" ht="16.5" customHeight="1" spans="1:24">
      <c r="A22" s="13" t="s">
        <v>40</v>
      </c>
      <c r="B22" s="20" t="s">
        <v>41</v>
      </c>
      <c r="C22" s="23" t="s">
        <v>42</v>
      </c>
      <c r="D22" s="23" t="s">
        <v>42</v>
      </c>
      <c r="E22" s="23" t="s">
        <v>42</v>
      </c>
      <c r="F22" s="23" t="s">
        <v>42</v>
      </c>
      <c r="G22" s="20">
        <f>高装高套!B2</f>
        <v>0</v>
      </c>
      <c r="H22" s="23" t="s">
        <v>42</v>
      </c>
      <c r="I22" s="23"/>
      <c r="J22" s="23" t="s">
        <v>42</v>
      </c>
      <c r="K22" s="20">
        <f ca="1">VLOOKUP(B:B,完美一单!A:C,3,0)</f>
        <v>0</v>
      </c>
      <c r="L22" s="23" t="s">
        <v>42</v>
      </c>
      <c r="M22" s="23" t="s">
        <v>42</v>
      </c>
      <c r="N22" s="25" t="s">
        <v>42</v>
      </c>
      <c r="O22" s="25">
        <f ca="1">VLOOKUP(B:B,激励!A:B,2,0)</f>
        <v>0</v>
      </c>
      <c r="P22" s="21" t="s">
        <v>42</v>
      </c>
      <c r="Q22" s="26" t="s">
        <v>42</v>
      </c>
      <c r="R22" s="27" t="s">
        <v>42</v>
      </c>
      <c r="V22" s="61" t="s">
        <v>35</v>
      </c>
      <c r="W22">
        <f ca="1" t="shared" si="10"/>
        <v>1019</v>
      </c>
      <c r="X22">
        <f ca="1" t="shared" si="6"/>
        <v>11</v>
      </c>
    </row>
    <row r="23" ht="14.25" customHeight="1" spans="1:24">
      <c r="A23" s="35"/>
      <c r="B23" s="20" t="s">
        <v>43</v>
      </c>
      <c r="C23" s="23" t="s">
        <v>42</v>
      </c>
      <c r="D23" s="23" t="s">
        <v>42</v>
      </c>
      <c r="E23" s="23" t="s">
        <v>42</v>
      </c>
      <c r="F23" s="23" t="s">
        <v>42</v>
      </c>
      <c r="G23" s="20">
        <f>高装高套!B3</f>
        <v>0</v>
      </c>
      <c r="H23" s="23" t="s">
        <v>42</v>
      </c>
      <c r="I23" s="23"/>
      <c r="J23" s="23" t="s">
        <v>42</v>
      </c>
      <c r="K23" s="20">
        <f ca="1">VLOOKUP(B:B,完美一单!A:C,3,0)</f>
        <v>0</v>
      </c>
      <c r="L23" s="23" t="s">
        <v>42</v>
      </c>
      <c r="M23" s="23" t="s">
        <v>42</v>
      </c>
      <c r="N23" s="25" t="s">
        <v>42</v>
      </c>
      <c r="O23" s="25">
        <f ca="1">VLOOKUP(B:B,激励!A:B,2,0)</f>
        <v>313.5</v>
      </c>
      <c r="P23" s="21" t="s">
        <v>42</v>
      </c>
      <c r="Q23" s="26" t="s">
        <v>42</v>
      </c>
      <c r="R23" s="27" t="s">
        <v>42</v>
      </c>
    </row>
    <row r="24" ht="14.25" customHeight="1" spans="1:24">
      <c r="A24" s="35"/>
      <c r="B24" s="20" t="s">
        <v>44</v>
      </c>
      <c r="C24" s="23" t="s">
        <v>42</v>
      </c>
      <c r="D24" s="23" t="s">
        <v>42</v>
      </c>
      <c r="E24" s="23" t="s">
        <v>42</v>
      </c>
      <c r="F24" s="23" t="s">
        <v>42</v>
      </c>
      <c r="G24" s="20">
        <f>高装高套!B4</f>
        <v>0</v>
      </c>
      <c r="H24" s="23" t="s">
        <v>42</v>
      </c>
      <c r="I24" s="23"/>
      <c r="J24" s="23" t="s">
        <v>42</v>
      </c>
      <c r="K24" s="20">
        <f ca="1">VLOOKUP(B:B,完美一单!A:C,3,0)</f>
        <v>0</v>
      </c>
      <c r="L24" s="23" t="s">
        <v>42</v>
      </c>
      <c r="M24" s="23" t="s">
        <v>42</v>
      </c>
      <c r="N24" s="25" t="s">
        <v>42</v>
      </c>
      <c r="O24" s="25">
        <f ca="1">VLOOKUP(B:B,激励!A:B,2,0)</f>
        <v>0</v>
      </c>
      <c r="P24" s="21" t="s">
        <v>42</v>
      </c>
      <c r="Q24" s="26" t="s">
        <v>42</v>
      </c>
      <c r="R24" s="27" t="s">
        <v>42</v>
      </c>
    </row>
    <row r="25" ht="14.25" customHeight="1" spans="1:24">
      <c r="A25" s="35"/>
      <c r="B25" s="20" t="s">
        <v>45</v>
      </c>
      <c r="C25" s="23" t="s">
        <v>42</v>
      </c>
      <c r="D25" s="23" t="s">
        <v>42</v>
      </c>
      <c r="E25" s="23" t="s">
        <v>42</v>
      </c>
      <c r="F25" s="23" t="s">
        <v>42</v>
      </c>
      <c r="G25" s="20">
        <f>高装高套!B5</f>
        <v>2</v>
      </c>
      <c r="H25" s="23" t="s">
        <v>42</v>
      </c>
      <c r="I25" s="23"/>
      <c r="J25" s="23" t="s">
        <v>42</v>
      </c>
      <c r="K25" s="20">
        <f ca="1">VLOOKUP(B:B,完美一单!A:C,3,0)</f>
        <v>138.6</v>
      </c>
      <c r="L25" s="23" t="s">
        <v>42</v>
      </c>
      <c r="M25" s="23" t="s">
        <v>42</v>
      </c>
      <c r="N25" s="25" t="s">
        <v>42</v>
      </c>
      <c r="O25" s="25">
        <f ca="1">VLOOKUP(B:B,激励!A:B,2,0)</f>
        <v>762.3</v>
      </c>
      <c r="P25" s="21" t="s">
        <v>42</v>
      </c>
      <c r="Q25" s="26" t="s">
        <v>42</v>
      </c>
      <c r="R25" s="27" t="s">
        <v>42</v>
      </c>
    </row>
    <row r="26" ht="14.25" customHeight="1" spans="1:24">
      <c r="A26" s="35"/>
      <c r="B26" s="20" t="s">
        <v>46</v>
      </c>
      <c r="C26" s="23" t="s">
        <v>42</v>
      </c>
      <c r="D26" s="23" t="s">
        <v>42</v>
      </c>
      <c r="E26" s="23" t="s">
        <v>42</v>
      </c>
      <c r="F26" s="23" t="s">
        <v>42</v>
      </c>
      <c r="G26" s="20">
        <f>高装高套!B6</f>
        <v>0</v>
      </c>
      <c r="H26" s="23" t="s">
        <v>42</v>
      </c>
      <c r="I26" s="23"/>
      <c r="J26" s="23" t="s">
        <v>42</v>
      </c>
      <c r="K26" s="20">
        <f ca="1">VLOOKUP(B:B,完美一单!A:C,3,0)</f>
        <v>0</v>
      </c>
      <c r="L26" s="23" t="s">
        <v>42</v>
      </c>
      <c r="M26" s="23" t="s">
        <v>42</v>
      </c>
      <c r="N26" s="25" t="s">
        <v>42</v>
      </c>
      <c r="O26" s="25">
        <f ca="1">VLOOKUP(B:B,激励!A:B,2,0)</f>
        <v>0</v>
      </c>
      <c r="P26" s="21" t="s">
        <v>42</v>
      </c>
      <c r="Q26" s="26" t="s">
        <v>42</v>
      </c>
      <c r="R26" s="27" t="s">
        <v>42</v>
      </c>
    </row>
    <row r="27" ht="16.5" customHeight="1" spans="1:24">
      <c r="A27" s="35"/>
      <c r="B27" s="20" t="s">
        <v>47</v>
      </c>
      <c r="C27" s="23" t="s">
        <v>42</v>
      </c>
      <c r="D27" s="23" t="s">
        <v>42</v>
      </c>
      <c r="E27" s="23" t="s">
        <v>42</v>
      </c>
      <c r="F27" s="23" t="s">
        <v>42</v>
      </c>
      <c r="G27" s="20">
        <f>高装高套!B7</f>
        <v>1.5</v>
      </c>
      <c r="H27" s="23" t="s">
        <v>42</v>
      </c>
      <c r="I27" s="23"/>
      <c r="J27" s="23" t="s">
        <v>42</v>
      </c>
      <c r="K27" s="20">
        <f ca="1">VLOOKUP(B:B,完美一单!A:C,3,0)</f>
        <v>239</v>
      </c>
      <c r="L27" s="23" t="s">
        <v>42</v>
      </c>
      <c r="M27" s="23" t="s">
        <v>42</v>
      </c>
      <c r="N27" s="25" t="s">
        <v>42</v>
      </c>
      <c r="O27" s="25">
        <f ca="1">VLOOKUP(B:B,激励!A:B,2,0)</f>
        <v>1075.5</v>
      </c>
      <c r="P27" s="21" t="s">
        <v>42</v>
      </c>
      <c r="Q27" s="26" t="s">
        <v>42</v>
      </c>
      <c r="R27" s="27" t="s">
        <v>42</v>
      </c>
    </row>
    <row r="28" ht="16.5" customHeight="1" spans="1:24">
      <c r="A28" s="35"/>
      <c r="B28" s="20" t="s">
        <v>48</v>
      </c>
      <c r="C28" s="23" t="s">
        <v>42</v>
      </c>
      <c r="D28" s="23" t="s">
        <v>42</v>
      </c>
      <c r="E28" s="23" t="s">
        <v>42</v>
      </c>
      <c r="F28" s="23" t="s">
        <v>42</v>
      </c>
      <c r="G28" s="20">
        <f>高装高套!B8</f>
        <v>0</v>
      </c>
      <c r="H28" s="23" t="s">
        <v>42</v>
      </c>
      <c r="I28" s="23"/>
      <c r="J28" s="23" t="s">
        <v>42</v>
      </c>
      <c r="K28" s="20">
        <f ca="1">VLOOKUP(B:B,完美一单!A:C,3,0)</f>
        <v>0</v>
      </c>
      <c r="L28" s="23" t="s">
        <v>42</v>
      </c>
      <c r="M28" s="23" t="s">
        <v>42</v>
      </c>
      <c r="N28" s="25" t="s">
        <v>42</v>
      </c>
      <c r="O28" s="25">
        <f ca="1">VLOOKUP(B:B,激励!A:B,2,0)</f>
        <v>0</v>
      </c>
      <c r="P28" s="21" t="s">
        <v>42</v>
      </c>
      <c r="Q28" s="26" t="s">
        <v>42</v>
      </c>
      <c r="R28" s="27" t="s">
        <v>42</v>
      </c>
    </row>
    <row r="29" ht="16.5" customHeight="1" spans="1:24">
      <c r="A29" s="36"/>
      <c r="B29" s="20" t="s">
        <v>49</v>
      </c>
      <c r="C29" s="23" t="s">
        <v>42</v>
      </c>
      <c r="D29" s="23" t="s">
        <v>42</v>
      </c>
      <c r="E29" s="23" t="s">
        <v>42</v>
      </c>
      <c r="F29" s="23" t="s">
        <v>42</v>
      </c>
      <c r="G29" s="20">
        <f>高装高套!B9</f>
        <v>0</v>
      </c>
      <c r="H29" s="23" t="s">
        <v>42</v>
      </c>
      <c r="I29" s="23"/>
      <c r="J29" s="23" t="s">
        <v>42</v>
      </c>
      <c r="K29" s="20">
        <f ca="1">VLOOKUP(B:B,完美一单!A:C,3,0)</f>
        <v>0</v>
      </c>
      <c r="L29" s="23" t="s">
        <v>42</v>
      </c>
      <c r="M29" s="23" t="s">
        <v>42</v>
      </c>
      <c r="N29" s="25" t="s">
        <v>42</v>
      </c>
      <c r="O29" s="25">
        <f ca="1">VLOOKUP(B:B,激励!A:B,2,0)</f>
        <v>1345.5</v>
      </c>
      <c r="P29" s="21" t="s">
        <v>42</v>
      </c>
      <c r="Q29" s="26" t="s">
        <v>42</v>
      </c>
      <c r="R29" s="27" t="s">
        <v>42</v>
      </c>
    </row>
    <row r="30" ht="16.5" customHeight="1" spans="1:24">
      <c r="A30" s="62" t="s">
        <v>50</v>
      </c>
      <c r="B30" s="15"/>
      <c r="C30" s="23" t="s">
        <v>42</v>
      </c>
      <c r="D30" s="23" t="s">
        <v>42</v>
      </c>
      <c r="E30" s="23" t="s">
        <v>42</v>
      </c>
      <c r="F30" s="23" t="s">
        <v>42</v>
      </c>
      <c r="G30" s="20">
        <f>SUM(G22:G29)</f>
        <v>3.5</v>
      </c>
      <c r="H30" s="23" t="s">
        <v>42</v>
      </c>
      <c r="I30" s="23"/>
      <c r="J30" s="23" t="s">
        <v>42</v>
      </c>
      <c r="K30" s="20">
        <f ca="1">SUM(K22:K29)</f>
        <v>377.6</v>
      </c>
      <c r="L30" s="23" t="s">
        <v>42</v>
      </c>
      <c r="M30" s="23" t="s">
        <v>42</v>
      </c>
      <c r="N30" s="23" t="s">
        <v>42</v>
      </c>
      <c r="O30" s="23" t="s">
        <v>42</v>
      </c>
      <c r="P30" s="23" t="s">
        <v>42</v>
      </c>
      <c r="Q30" s="23" t="s">
        <v>42</v>
      </c>
      <c r="R30" s="23" t="s">
        <v>42</v>
      </c>
    </row>
    <row r="31" ht="16.5" customHeight="1"/>
    <row r="32" ht="16.5" customHeight="1" spans="1:24">
      <c r="G32"/>
      <c r="I32"/>
      <c r="J32"/>
      <c r="K32"/>
      <c r="O32"/>
    </row>
    <row r="33" ht="16.5" customHeight="1" spans="1:20">
      <c r="A33" s="63" t="str">
        <f>"高装高套目标完成情况"</f>
        <v>高装高套目标完成情况</v>
      </c>
      <c r="G33"/>
      <c r="I33"/>
      <c r="J33" s="64" t="str">
        <f>"全光任务完成情况"</f>
        <v>全光任务完成情况</v>
      </c>
      <c r="O33"/>
      <c r="P33" s="65" t="str">
        <f>"区县目标完成情况"</f>
        <v>区县目标完成情况</v>
      </c>
    </row>
    <row r="34" ht="33" customHeight="1" spans="1:20">
      <c r="A34" s="66" t="s">
        <v>51</v>
      </c>
      <c r="B34" s="66" t="s">
        <v>52</v>
      </c>
      <c r="C34" s="66" t="s">
        <v>53</v>
      </c>
      <c r="D34" s="66" t="s">
        <v>54</v>
      </c>
      <c r="E34" s="66" t="s">
        <v>13</v>
      </c>
      <c r="F34" s="66" t="s">
        <v>16</v>
      </c>
      <c r="G34"/>
      <c r="I34"/>
      <c r="J34" s="67" t="s">
        <v>51</v>
      </c>
      <c r="K34" s="67" t="s">
        <v>52</v>
      </c>
      <c r="L34" s="67" t="s">
        <v>17</v>
      </c>
      <c r="M34" s="68" t="s">
        <v>55</v>
      </c>
      <c r="N34" s="67" t="s">
        <v>19</v>
      </c>
      <c r="O34"/>
      <c r="P34" s="69" t="s">
        <v>56</v>
      </c>
      <c r="Q34" s="69" t="s">
        <v>57</v>
      </c>
      <c r="R34" s="69" t="s">
        <v>58</v>
      </c>
      <c r="S34" s="69" t="s">
        <v>19</v>
      </c>
      <c r="T34" s="69" t="s">
        <v>15</v>
      </c>
    </row>
    <row r="35" ht="16.5" customHeight="1" spans="1:20">
      <c r="A35" s="70" t="s">
        <v>40</v>
      </c>
      <c r="B35" s="71" t="str">
        <f>高装高套!A2</f>
        <v>陈梓铭</v>
      </c>
      <c r="C35" s="71">
        <v>1</v>
      </c>
      <c r="D35" s="71">
        <f>高装高套!B2</f>
        <v>0</v>
      </c>
      <c r="E35" s="72">
        <f ca="1">VLOOKUP(B:B,完美一单!A:C,3,0)</f>
        <v>0</v>
      </c>
      <c r="F35" s="72">
        <f ca="1">VLOOKUP(B:B,激励!A:B,2,0)</f>
        <v>0</v>
      </c>
      <c r="G35"/>
      <c r="I35"/>
      <c r="J35" s="73" t="s">
        <v>59</v>
      </c>
      <c r="K35" s="74" t="s">
        <v>60</v>
      </c>
      <c r="L35" s="74">
        <v>60</v>
      </c>
      <c r="M35" s="74">
        <f>交付高装!D2</f>
        <v>19</v>
      </c>
      <c r="N35" s="75">
        <f>交付高装!E2</f>
        <v>0.316666666666667</v>
      </c>
      <c r="O35"/>
      <c r="P35" s="76" t="s">
        <v>39</v>
      </c>
      <c r="Q35" s="77">
        <v>4.25</v>
      </c>
      <c r="R35" s="77">
        <f ca="1">ROUND(_xlfn.XLOOKUP(P35,高套!A:A,高套!B:B,0)/U5,2)</f>
        <v>4.77</v>
      </c>
      <c r="S35" s="78">
        <f ca="1" t="shared" ref="S35:S44" si="11">R35/Q35</f>
        <v>1.12235294117647</v>
      </c>
      <c r="T35" s="79">
        <f ca="1">RANK(S35,S35:S43)</f>
        <v>9</v>
      </c>
    </row>
    <row r="36" ht="16.5" customHeight="1" spans="1:20">
      <c r="A36" s="80"/>
      <c r="B36" s="81" t="str">
        <f>高装高套!A3</f>
        <v>程庆德</v>
      </c>
      <c r="C36" s="81">
        <v>1</v>
      </c>
      <c r="D36" s="81">
        <f>高装高套!B3</f>
        <v>0</v>
      </c>
      <c r="E36" s="82">
        <f ca="1">VLOOKUP(B:B,完美一单!A:C,3,0)</f>
        <v>0</v>
      </c>
      <c r="F36" s="82">
        <f ca="1">VLOOKUP(B:B,激励!A:B,2,0)</f>
        <v>313.5</v>
      </c>
      <c r="G36"/>
      <c r="I36"/>
      <c r="J36" s="83"/>
      <c r="K36" s="74" t="s">
        <v>61</v>
      </c>
      <c r="L36" s="74">
        <v>60</v>
      </c>
      <c r="M36" s="74">
        <f>交付高装!D3</f>
        <v>17</v>
      </c>
      <c r="N36" s="75">
        <f>交付高装!E3</f>
        <v>0.283333333333333</v>
      </c>
      <c r="O36"/>
      <c r="P36" s="76" t="s">
        <v>62</v>
      </c>
      <c r="Q36" s="84">
        <v>5.75</v>
      </c>
      <c r="R36" s="84">
        <f ca="1">ROUND(_xlfn.XLOOKUP(P36,高套!A:A,高套!B:B,0)/U5,2)</f>
        <v>10.27</v>
      </c>
      <c r="S36" s="78">
        <f ca="1" t="shared" si="11"/>
        <v>1.78608695652174</v>
      </c>
      <c r="T36" s="85">
        <f ca="1">RANK(S36,S35:S43)</f>
        <v>3</v>
      </c>
    </row>
    <row r="37" ht="16.5" customHeight="1" spans="1:20">
      <c r="A37" s="80"/>
      <c r="B37" s="71" t="str">
        <f>高装高套!A4</f>
        <v>刘奇峻</v>
      </c>
      <c r="C37" s="71">
        <v>1</v>
      </c>
      <c r="D37" s="71">
        <f>高装高套!B4</f>
        <v>0</v>
      </c>
      <c r="E37" s="72">
        <f ca="1">VLOOKUP(B:B,完美一单!A:C,3,0)</f>
        <v>0</v>
      </c>
      <c r="F37" s="72">
        <f ca="1">VLOOKUP(B:B,激励!A:B,2,0)</f>
        <v>0</v>
      </c>
      <c r="G37"/>
      <c r="I37"/>
      <c r="J37" s="83"/>
      <c r="K37" s="86" t="s">
        <v>63</v>
      </c>
      <c r="L37" s="74">
        <v>60</v>
      </c>
      <c r="M37" s="74">
        <f>交付高装!D4</f>
        <v>59</v>
      </c>
      <c r="N37" s="75">
        <f>交付高装!E4</f>
        <v>0.983333333333333</v>
      </c>
      <c r="O37"/>
      <c r="P37" s="76" t="s">
        <v>64</v>
      </c>
      <c r="Q37" s="77">
        <v>3.52</v>
      </c>
      <c r="R37" s="77">
        <f ca="1">ROUND(_xlfn.XLOOKUP(P37,高套!A:A,高套!B:B,0)/U5,2)</f>
        <v>14.58</v>
      </c>
      <c r="S37" s="78">
        <f ca="1" t="shared" si="11"/>
        <v>4.14204545454545</v>
      </c>
      <c r="T37" s="79">
        <f ca="1">RANK(S37,S35:S43)</f>
        <v>1</v>
      </c>
    </row>
    <row r="38" ht="16.5" customHeight="1" spans="1:20">
      <c r="A38" s="80"/>
      <c r="B38" s="81" t="str">
        <f>高装高套!A5</f>
        <v>龙家宝</v>
      </c>
      <c r="C38" s="81">
        <v>1</v>
      </c>
      <c r="D38" s="81">
        <f>高装高套!B5</f>
        <v>2</v>
      </c>
      <c r="E38" s="82">
        <f ca="1">VLOOKUP(B:B,完美一单!A:C,3,0)</f>
        <v>138.6</v>
      </c>
      <c r="F38" s="82">
        <f ca="1">VLOOKUP(B:B,激励!A:B,2,0)</f>
        <v>762.3</v>
      </c>
      <c r="G38"/>
      <c r="I38"/>
      <c r="J38" s="83"/>
      <c r="K38" s="74" t="s">
        <v>65</v>
      </c>
      <c r="L38" s="74">
        <v>45</v>
      </c>
      <c r="M38" s="74">
        <f>交付高装!D5</f>
        <v>15</v>
      </c>
      <c r="N38" s="75">
        <f>交付高装!E5</f>
        <v>0.333333333333333</v>
      </c>
      <c r="O38"/>
      <c r="P38" s="76" t="s">
        <v>66</v>
      </c>
      <c r="Q38" s="84">
        <v>3.97</v>
      </c>
      <c r="R38" s="84">
        <f ca="1">ROUND(_xlfn.XLOOKUP(P38,高套!A:A,高套!B:B,0)/U5,2)</f>
        <v>4.68</v>
      </c>
      <c r="S38" s="78">
        <f ca="1" t="shared" si="11"/>
        <v>1.17884130982368</v>
      </c>
      <c r="T38" s="85">
        <f ca="1">RANK(S38,S35:S43)</f>
        <v>8</v>
      </c>
    </row>
    <row r="39" ht="16.5" customHeight="1" spans="1:20">
      <c r="A39" s="80"/>
      <c r="B39" s="71" t="str">
        <f>高装高套!A6</f>
        <v>罗紫杰</v>
      </c>
      <c r="C39" s="71">
        <v>1</v>
      </c>
      <c r="D39" s="71">
        <f>高装高套!B6</f>
        <v>0</v>
      </c>
      <c r="E39" s="72">
        <f ca="1">VLOOKUP(B:B,完美一单!A:C,3,0)</f>
        <v>0</v>
      </c>
      <c r="F39" s="72">
        <f ca="1">VLOOKUP(B:B,激励!A:B,2,0)</f>
        <v>0</v>
      </c>
      <c r="G39"/>
      <c r="I39"/>
      <c r="J39" s="87" t="s">
        <v>40</v>
      </c>
      <c r="K39" s="88" t="s">
        <v>41</v>
      </c>
      <c r="L39" s="89">
        <v>30</v>
      </c>
      <c r="M39" s="89">
        <f>交付高装!D6</f>
        <v>11</v>
      </c>
      <c r="N39" s="90">
        <f>交付高装!E6</f>
        <v>0.366666666666667</v>
      </c>
      <c r="O39"/>
      <c r="P39" s="76" t="s">
        <v>67</v>
      </c>
      <c r="Q39" s="77">
        <v>2.38</v>
      </c>
      <c r="R39" s="77">
        <f ca="1">ROUND(_xlfn.XLOOKUP(P39,高套!A:A,高套!B:B,0)/U5,2)</f>
        <v>4.43</v>
      </c>
      <c r="S39" s="78">
        <f ca="1" t="shared" si="11"/>
        <v>1.86134453781513</v>
      </c>
      <c r="T39" s="79">
        <f ca="1">RANK(S39,S35:S43)</f>
        <v>2</v>
      </c>
    </row>
    <row r="40" ht="16.5" customHeight="1" spans="1:20">
      <c r="A40" s="80"/>
      <c r="B40" s="81" t="str">
        <f>高装高套!A7</f>
        <v>莫健铭</v>
      </c>
      <c r="C40" s="81">
        <v>1</v>
      </c>
      <c r="D40" s="81">
        <f>高装高套!B7</f>
        <v>1.5</v>
      </c>
      <c r="E40" s="82">
        <f ca="1">VLOOKUP(B:B,完美一单!A:C,3,0)</f>
        <v>239</v>
      </c>
      <c r="F40" s="82">
        <f ca="1">VLOOKUP(B:B,激励!A:B,2,0)</f>
        <v>1075.5</v>
      </c>
      <c r="G40"/>
      <c r="I40"/>
      <c r="J40" s="91"/>
      <c r="K40" s="88" t="s">
        <v>43</v>
      </c>
      <c r="L40" s="89">
        <v>30</v>
      </c>
      <c r="M40" s="89">
        <f>交付高装!D7</f>
        <v>6</v>
      </c>
      <c r="N40" s="90">
        <f>交付高装!E7</f>
        <v>0.2</v>
      </c>
      <c r="O40"/>
      <c r="P40" s="76" t="s">
        <v>68</v>
      </c>
      <c r="Q40" s="92">
        <v>2.6</v>
      </c>
      <c r="R40" s="92">
        <f ca="1">ROUND(_xlfn.XLOOKUP(P40,高套!A:A,高套!B:B,0)/U5,2)</f>
        <v>3.94</v>
      </c>
      <c r="S40" s="78">
        <f ca="1" t="shared" si="11"/>
        <v>1.51538461538462</v>
      </c>
      <c r="T40" s="85">
        <f ca="1">RANK(S40,S35:S43)</f>
        <v>4</v>
      </c>
    </row>
    <row r="41" ht="16.5" customHeight="1" spans="1:20">
      <c r="A41" s="80"/>
      <c r="B41" s="71" t="str">
        <f>高装高套!A8</f>
        <v>吴广仁</v>
      </c>
      <c r="C41" s="71">
        <v>1</v>
      </c>
      <c r="D41" s="71">
        <f>高装高套!B8</f>
        <v>0</v>
      </c>
      <c r="E41" s="72">
        <f ca="1">VLOOKUP(B:B,完美一单!A:C,3,0)</f>
        <v>0</v>
      </c>
      <c r="F41" s="72">
        <f ca="1">VLOOKUP(B:B,激励!A:B,2,0)</f>
        <v>0</v>
      </c>
      <c r="G41"/>
      <c r="J41" s="91"/>
      <c r="K41" s="88" t="s">
        <v>44</v>
      </c>
      <c r="L41" s="89">
        <v>30</v>
      </c>
      <c r="M41" s="89">
        <f>交付高装!D8</f>
        <v>6</v>
      </c>
      <c r="N41" s="90">
        <f>交付高装!E8</f>
        <v>0.2</v>
      </c>
      <c r="O41"/>
      <c r="P41" s="76" t="s">
        <v>69</v>
      </c>
      <c r="Q41" s="77">
        <v>2.41</v>
      </c>
      <c r="R41" s="77">
        <f ca="1">ROUND(_xlfn.XLOOKUP(P41,高套!A:A,高套!B:B,0)/U5,2)</f>
        <v>3.45</v>
      </c>
      <c r="S41" s="78">
        <f ca="1" t="shared" si="11"/>
        <v>1.43153526970954</v>
      </c>
      <c r="T41" s="79">
        <f ca="1">RANK(S41,S35:S43)</f>
        <v>7</v>
      </c>
    </row>
    <row r="42" ht="13.5" customHeight="1" spans="1:20">
      <c r="A42" s="93"/>
      <c r="B42" s="81" t="str">
        <f>高装高套!A9</f>
        <v>王洪明</v>
      </c>
      <c r="C42" s="81">
        <v>1</v>
      </c>
      <c r="D42" s="81">
        <f>高装高套!B9</f>
        <v>0</v>
      </c>
      <c r="E42" s="82">
        <f ca="1">VLOOKUP(B:B,完美一单!A:C,3,0)</f>
        <v>0</v>
      </c>
      <c r="F42" s="82">
        <f ca="1">VLOOKUP(B:B,激励!A:B,2,0)</f>
        <v>1345.5</v>
      </c>
      <c r="G42"/>
      <c r="J42" s="91"/>
      <c r="K42" s="88" t="s">
        <v>45</v>
      </c>
      <c r="L42" s="89">
        <v>30</v>
      </c>
      <c r="M42" s="89">
        <f>交付高装!D9</f>
        <v>13</v>
      </c>
      <c r="N42" s="90">
        <f>交付高装!E9</f>
        <v>0.433333333333333</v>
      </c>
      <c r="O42"/>
      <c r="P42" s="76" t="s">
        <v>70</v>
      </c>
      <c r="Q42" s="84">
        <v>3.22</v>
      </c>
      <c r="R42" s="84">
        <f ca="1">ROUND(_xlfn.XLOOKUP(P42,高套!A:A,高套!B:B,0)/U5,2)</f>
        <v>4.8</v>
      </c>
      <c r="S42" s="78">
        <f ca="1" t="shared" si="11"/>
        <v>1.49068322981366</v>
      </c>
      <c r="T42" s="85">
        <f ca="1">RANK(S42,S35:S43)</f>
        <v>5</v>
      </c>
    </row>
    <row r="43" ht="16.5" customHeight="1" spans="1:20">
      <c r="A43" s="94" t="s">
        <v>37</v>
      </c>
      <c r="B43" s="95"/>
      <c r="C43" s="94">
        <f>SUM(C35:C42)</f>
        <v>8</v>
      </c>
      <c r="D43" s="94">
        <f>SUM(D35:D42)</f>
        <v>3.5</v>
      </c>
      <c r="E43" s="94">
        <f ca="1">SUM(E35:E42)</f>
        <v>377.6</v>
      </c>
      <c r="F43" s="94" t="s">
        <v>42</v>
      </c>
      <c r="G43"/>
      <c r="J43" s="91"/>
      <c r="K43" s="88" t="s">
        <v>46</v>
      </c>
      <c r="L43" s="89">
        <v>30</v>
      </c>
      <c r="M43" s="89">
        <f>交付高装!D10</f>
        <v>43</v>
      </c>
      <c r="N43" s="90">
        <f>交付高装!E10</f>
        <v>1.43333333333333</v>
      </c>
      <c r="O43"/>
      <c r="P43" s="76" t="s">
        <v>71</v>
      </c>
      <c r="Q43" s="77">
        <v>3.36</v>
      </c>
      <c r="R43" s="77">
        <f ca="1">ROUND(_xlfn.XLOOKUP(P43,高套!A:A,高套!B:B,0)/U5,2)</f>
        <v>4.92</v>
      </c>
      <c r="S43" s="78">
        <f ca="1" t="shared" si="11"/>
        <v>1.46428571428571</v>
      </c>
      <c r="T43" s="79">
        <f ca="1">RANK(S43,S35:S43)</f>
        <v>6</v>
      </c>
    </row>
    <row r="44" ht="14.75" customHeight="1" spans="1:20">
      <c r="F44"/>
      <c r="G44"/>
      <c r="J44" s="91"/>
      <c r="K44" s="88" t="s">
        <v>47</v>
      </c>
      <c r="L44" s="89">
        <v>30</v>
      </c>
      <c r="M44" s="89">
        <f>交付高装!D11</f>
        <v>16</v>
      </c>
      <c r="N44" s="90">
        <f>交付高装!E11</f>
        <v>0.533333333333333</v>
      </c>
      <c r="O44"/>
      <c r="P44" s="96" t="s">
        <v>72</v>
      </c>
      <c r="Q44" s="97">
        <f>SUM(Q35:Q43)</f>
        <v>31.46</v>
      </c>
      <c r="R44" s="97">
        <f ca="1">SUM(R35:R43)</f>
        <v>55.84</v>
      </c>
      <c r="S44" s="98">
        <f ca="1" t="shared" si="11"/>
        <v>1.77495232040687</v>
      </c>
      <c r="T44" s="99" t="s">
        <v>73</v>
      </c>
    </row>
    <row r="45" ht="13.5" customHeight="1" spans="1:20">
      <c r="F45"/>
      <c r="G45"/>
      <c r="J45" s="91"/>
      <c r="K45" s="88" t="s">
        <v>48</v>
      </c>
      <c r="L45" s="89">
        <v>30</v>
      </c>
      <c r="M45" s="89">
        <f>交付高装!D12</f>
        <v>15</v>
      </c>
      <c r="N45" s="90">
        <f>交付高装!E12</f>
        <v>0.5</v>
      </c>
      <c r="O45"/>
    </row>
    <row r="46" ht="13.5" customHeight="1" spans="1:20">
      <c r="F46"/>
      <c r="G46"/>
      <c r="J46" s="100"/>
      <c r="K46" s="101" t="s">
        <v>74</v>
      </c>
      <c r="L46" s="89">
        <v>210</v>
      </c>
      <c r="M46" s="89">
        <f>SUM(M35:M38)</f>
        <v>110</v>
      </c>
      <c r="N46" s="90">
        <f>M46/L46</f>
        <v>0.523809523809524</v>
      </c>
      <c r="O46"/>
    </row>
    <row r="47" ht="13.5" customHeight="1"/>
    <row r="48" ht="13.5" customHeight="1" spans="1:20">
      <c r="F48"/>
      <c r="G48"/>
      <c r="I48"/>
      <c r="J48"/>
      <c r="K48"/>
      <c r="O48"/>
    </row>
    <row r="49" ht="13.5" customHeight="1" spans="1:15">
      <c r="A49" s="102" t="str">
        <f ca="1">""&amp;MONTH(TODAY())&amp;"月份商机统计表（预计转化时间为"&amp;MONTH(TODAY())&amp;"月）"</f>
        <v>6月份商机统计表（预计转化时间为6月）</v>
      </c>
      <c r="B49" s="103"/>
      <c r="C49" s="103"/>
      <c r="D49" s="104"/>
      <c r="F49"/>
      <c r="G49" s="105" t="s">
        <v>75</v>
      </c>
    </row>
    <row r="50" ht="13.5" customHeight="1" spans="1:15">
      <c r="A50" s="106" t="str">
        <f ca="1">"（数据截止"&amp;TEXT(TODAY()-1,"m月d日")&amp;",剔除目前进度为""失败""、""已受理""的商机；剔除商机小类为""产数项目""的项）"</f>
        <v>（数据截止6月24日,剔除目前进度为"失败"、"已受理"的商机；剔除商机小类为"产数项目"的项）</v>
      </c>
      <c r="B50" s="107"/>
      <c r="C50" s="107"/>
      <c r="D50" s="108"/>
      <c r="F50"/>
      <c r="G50" s="109" t="str">
        <f ca="1">"（数据截止"&amp;TEXT(TODAY()-1,"m月d日")&amp;",剔除目前进度为""失败""、""已受理""的商机；剔除商机小类为""产数项目""的项）"</f>
        <v>（数据截止6月24日,剔除目前进度为"失败"、"已受理"的商机；剔除商机小类为"产数项目"的项）</v>
      </c>
    </row>
    <row r="51" ht="14.75" customHeight="1" spans="1:15">
      <c r="A51" s="8" t="s">
        <v>4</v>
      </c>
      <c r="B51" s="9" t="s">
        <v>76</v>
      </c>
      <c r="C51" s="9" t="s">
        <v>77</v>
      </c>
      <c r="D51" s="10" t="s">
        <v>78</v>
      </c>
      <c r="F51"/>
      <c r="G51" s="110" t="s">
        <v>4</v>
      </c>
      <c r="H51" s="9" t="s">
        <v>76</v>
      </c>
      <c r="I51" s="111"/>
      <c r="J51" s="111" t="s">
        <v>77</v>
      </c>
      <c r="K51" s="112" t="s">
        <v>78</v>
      </c>
    </row>
    <row r="52" spans="1:15">
      <c r="A52" s="113" t="str">
        <f>商机统计!A2</f>
        <v>谢卓和</v>
      </c>
      <c r="B52" s="114">
        <f>商机统计!B2</f>
        <v>14</v>
      </c>
      <c r="C52" s="114">
        <f>商机统计!C2</f>
        <v>47.5</v>
      </c>
      <c r="D52" s="115">
        <f>商机统计!D2</f>
        <v>5190</v>
      </c>
      <c r="F52"/>
      <c r="G52" s="113" t="str">
        <f>商机统计!F2</f>
        <v>谢卓和</v>
      </c>
      <c r="H52" s="114">
        <f>商机统计!G2</f>
        <v>17</v>
      </c>
      <c r="I52" s="114"/>
      <c r="J52" s="114">
        <f>商机统计!H2</f>
        <v>60.5</v>
      </c>
      <c r="K52" s="115">
        <f>商机统计!I2</f>
        <v>6798</v>
      </c>
    </row>
    <row r="53" spans="1:15">
      <c r="A53" s="116" t="str">
        <f>商机统计!A3</f>
        <v>黄淡妮</v>
      </c>
      <c r="B53" s="117">
        <f>商机统计!B3</f>
        <v>10</v>
      </c>
      <c r="C53" s="117">
        <f>商机统计!C3</f>
        <v>40.9</v>
      </c>
      <c r="D53" s="118">
        <f>商机统计!D3</f>
        <v>6793</v>
      </c>
      <c r="G53" s="116" t="str">
        <f>商机统计!F3</f>
        <v>邱海燕</v>
      </c>
      <c r="H53" s="117">
        <f>商机统计!G3</f>
        <v>5</v>
      </c>
      <c r="I53" s="117"/>
      <c r="J53" s="117">
        <f>商机统计!H3</f>
        <v>49.2</v>
      </c>
      <c r="K53" s="118">
        <f>商机统计!I3</f>
        <v>6479</v>
      </c>
    </row>
    <row r="54" spans="1:15">
      <c r="A54" s="119" t="str">
        <f>商机统计!A4</f>
        <v>具进康</v>
      </c>
      <c r="B54" s="120">
        <f>商机统计!B4</f>
        <v>8</v>
      </c>
      <c r="C54" s="120">
        <f>商机统计!C4</f>
        <v>20.5</v>
      </c>
      <c r="D54" s="121">
        <f>商机统计!D4</f>
        <v>4882</v>
      </c>
      <c r="G54" s="119" t="str">
        <f>商机统计!F4</f>
        <v>黄淡妮</v>
      </c>
      <c r="H54" s="120">
        <f>商机统计!G4</f>
        <v>11</v>
      </c>
      <c r="I54" s="120"/>
      <c r="J54" s="120">
        <f>商机统计!H4</f>
        <v>43.9</v>
      </c>
      <c r="K54" s="121">
        <f>商机统计!I4</f>
        <v>7393</v>
      </c>
    </row>
    <row r="55" spans="1:15">
      <c r="A55" s="122" t="str">
        <f>商机统计!A5</f>
        <v>张小敏</v>
      </c>
      <c r="B55" s="123">
        <f>商机统计!B5</f>
        <v>10</v>
      </c>
      <c r="C55" s="123">
        <f>商机统计!C5</f>
        <v>20</v>
      </c>
      <c r="D55" s="124">
        <f>商机统计!D5</f>
        <v>4375</v>
      </c>
      <c r="G55" s="122" t="str">
        <f>商机统计!F5</f>
        <v>潘观友</v>
      </c>
      <c r="H55" s="123">
        <f>商机统计!G5</f>
        <v>10</v>
      </c>
      <c r="I55" s="123"/>
      <c r="J55" s="123">
        <f>商机统计!H5</f>
        <v>36.8</v>
      </c>
      <c r="K55" s="124">
        <f>商机统计!I5</f>
        <v>6317</v>
      </c>
    </row>
    <row r="56" ht="13.5" customHeight="1" spans="1:15">
      <c r="A56" s="125" t="str">
        <f>商机统计!A6</f>
        <v>潘观友</v>
      </c>
      <c r="B56" s="126">
        <f>商机统计!B6</f>
        <v>6</v>
      </c>
      <c r="C56" s="126">
        <f>商机统计!C6</f>
        <v>19.8</v>
      </c>
      <c r="D56" s="127">
        <f>商机统计!D6</f>
        <v>1400</v>
      </c>
      <c r="G56" s="125" t="str">
        <f>商机统计!F6</f>
        <v>张小敏</v>
      </c>
      <c r="H56" s="126">
        <f>商机统计!G6</f>
        <v>11</v>
      </c>
      <c r="I56" s="126"/>
      <c r="J56" s="126">
        <f>商机统计!H6</f>
        <v>23</v>
      </c>
      <c r="K56" s="127">
        <f>商机统计!I6</f>
        <v>5575</v>
      </c>
    </row>
    <row r="57" spans="1:15">
      <c r="A57" s="122" t="str">
        <f>商机统计!A7</f>
        <v>李东</v>
      </c>
      <c r="B57" s="123">
        <f>商机统计!B7</f>
        <v>3</v>
      </c>
      <c r="C57" s="123">
        <f>商机统计!C7</f>
        <v>14</v>
      </c>
      <c r="D57" s="124">
        <f>商机统计!D7</f>
        <v>1329</v>
      </c>
      <c r="G57" s="122" t="str">
        <f>商机统计!F7</f>
        <v>具进康</v>
      </c>
      <c r="H57" s="123">
        <f>商机统计!G7</f>
        <v>10</v>
      </c>
      <c r="I57" s="123"/>
      <c r="J57" s="123">
        <f>商机统计!H7</f>
        <v>22.5</v>
      </c>
      <c r="K57" s="124">
        <f>商机统计!I7</f>
        <v>5181</v>
      </c>
    </row>
    <row r="58" spans="1:15">
      <c r="A58" s="125" t="str">
        <f>商机统计!A8</f>
        <v>王锦添</v>
      </c>
      <c r="B58" s="126">
        <f>商机统计!B8</f>
        <v>4</v>
      </c>
      <c r="C58" s="126">
        <f>商机统计!C8</f>
        <v>12</v>
      </c>
      <c r="D58" s="127">
        <f>商机统计!D8</f>
        <v>2280</v>
      </c>
      <c r="G58" s="125" t="str">
        <f>商机统计!F8</f>
        <v>黄观霞</v>
      </c>
      <c r="H58" s="126">
        <f>商机统计!G8</f>
        <v>4</v>
      </c>
      <c r="I58" s="126"/>
      <c r="J58" s="126">
        <f>商机统计!H8</f>
        <v>22</v>
      </c>
      <c r="K58" s="127">
        <f>商机统计!I8</f>
        <v>4216</v>
      </c>
    </row>
    <row r="59" spans="1:15">
      <c r="A59" s="122" t="str">
        <f>商机统计!A9</f>
        <v>李玉强</v>
      </c>
      <c r="B59" s="123">
        <f>商机统计!B9</f>
        <v>6</v>
      </c>
      <c r="C59" s="123">
        <f>商机统计!C9</f>
        <v>9.5</v>
      </c>
      <c r="D59" s="124">
        <f>商机统计!D9</f>
        <v>1184</v>
      </c>
      <c r="E59"/>
      <c r="F59"/>
      <c r="G59" s="122" t="str">
        <f>商机统计!F9</f>
        <v>李玉强</v>
      </c>
      <c r="H59" s="123">
        <f>商机统计!G9</f>
        <v>8</v>
      </c>
      <c r="I59" s="123"/>
      <c r="J59" s="123">
        <f>商机统计!H9</f>
        <v>19.5</v>
      </c>
      <c r="K59" s="124">
        <f>商机统计!I9</f>
        <v>3820</v>
      </c>
      <c r="O59"/>
    </row>
    <row r="60" spans="1:15">
      <c r="A60" s="125" t="str">
        <f>商机统计!A10</f>
        <v>麦海芬</v>
      </c>
      <c r="B60" s="126">
        <f>商机统计!B10</f>
        <v>5</v>
      </c>
      <c r="C60" s="126">
        <f>商机统计!C10</f>
        <v>8.5</v>
      </c>
      <c r="D60" s="127">
        <f>商机统计!D10</f>
        <v>1498</v>
      </c>
      <c r="E60"/>
      <c r="F60"/>
      <c r="G60" s="125" t="str">
        <f>商机统计!F10</f>
        <v>伍颖敏</v>
      </c>
      <c r="H60" s="126">
        <f>商机统计!G10</f>
        <v>4</v>
      </c>
      <c r="I60" s="126"/>
      <c r="J60" s="126">
        <f>商机统计!H10</f>
        <v>18.48</v>
      </c>
      <c r="K60" s="127">
        <f>商机统计!I10</f>
        <v>3675</v>
      </c>
      <c r="O60"/>
    </row>
    <row r="61" spans="1:15">
      <c r="A61" s="122" t="str">
        <f>商机统计!A11</f>
        <v>钟俊杰</v>
      </c>
      <c r="B61" s="123">
        <f>商机统计!B11</f>
        <v>1</v>
      </c>
      <c r="C61" s="123">
        <f>商机统计!C11</f>
        <v>1.5</v>
      </c>
      <c r="D61" s="124">
        <f>商机统计!D11</f>
        <v>199</v>
      </c>
      <c r="E61"/>
      <c r="F61"/>
      <c r="G61" s="122" t="str">
        <f>商机统计!F11</f>
        <v>王锦添</v>
      </c>
      <c r="H61" s="123">
        <f>商机统计!G11</f>
        <v>5</v>
      </c>
      <c r="I61" s="123"/>
      <c r="J61" s="123">
        <f>商机统计!H11</f>
        <v>16</v>
      </c>
      <c r="K61" s="124">
        <f>商机统计!I11</f>
        <v>3080</v>
      </c>
      <c r="O61"/>
    </row>
    <row r="62" spans="1:15">
      <c r="A62" s="125" t="str">
        <f>商机统计!A12</f>
        <v>伍颖敏</v>
      </c>
      <c r="B62" s="126">
        <f>商机统计!B12</f>
        <v>1</v>
      </c>
      <c r="C62" s="126">
        <f>商机统计!C12</f>
        <v>1.5</v>
      </c>
      <c r="D62" s="127">
        <f>商机统计!D12</f>
        <v>280</v>
      </c>
      <c r="E62"/>
      <c r="F62"/>
      <c r="G62" s="125" t="str">
        <f>商机统计!F12</f>
        <v>李东</v>
      </c>
      <c r="H62" s="126">
        <f>商机统计!G12</f>
        <v>4</v>
      </c>
      <c r="I62" s="126"/>
      <c r="J62" s="126">
        <f>商机统计!H12</f>
        <v>15</v>
      </c>
      <c r="K62" s="127">
        <f>商机统计!I12</f>
        <v>1529</v>
      </c>
      <c r="O62"/>
    </row>
    <row r="63" spans="1:15">
      <c r="A63" s="122" t="str">
        <f>商机统计!A13</f>
        <v>邱海燕</v>
      </c>
      <c r="B63" s="123">
        <f>商机统计!B13</f>
        <v>1</v>
      </c>
      <c r="C63" s="123">
        <f>商机统计!C13</f>
        <v>1</v>
      </c>
      <c r="D63" s="124">
        <f>商机统计!D13</f>
        <v>169</v>
      </c>
      <c r="E63"/>
      <c r="F63"/>
      <c r="G63" s="122" t="str">
        <f>商机统计!F13</f>
        <v>麦海芬</v>
      </c>
      <c r="H63" s="123">
        <f>商机统计!G13</f>
        <v>5</v>
      </c>
      <c r="I63" s="123"/>
      <c r="J63" s="123">
        <f>商机统计!H13</f>
        <v>8.5</v>
      </c>
      <c r="K63" s="124">
        <f>商机统计!I13</f>
        <v>1498</v>
      </c>
      <c r="O63"/>
    </row>
    <row r="64" spans="1:15">
      <c r="A64" s="125" t="str">
        <f>商机统计!A14</f>
        <v>黄观霞</v>
      </c>
      <c r="B64" s="126">
        <f>商机统计!B14</f>
        <v>1</v>
      </c>
      <c r="C64" s="126">
        <f>商机统计!C14</f>
        <v>1</v>
      </c>
      <c r="D64" s="127">
        <f>商机统计!D14</f>
        <v>169</v>
      </c>
      <c r="E64"/>
      <c r="F64"/>
      <c r="G64" s="125" t="str">
        <f>商机统计!F14</f>
        <v>冯艺康</v>
      </c>
      <c r="H64" s="126">
        <f>商机统计!G14</f>
        <v>1</v>
      </c>
      <c r="I64" s="126"/>
      <c r="J64" s="126">
        <f>商机统计!H14</f>
        <v>6</v>
      </c>
      <c r="K64" s="127">
        <f>商机统计!I14</f>
        <v>1200</v>
      </c>
      <c r="O64"/>
    </row>
    <row r="65" ht="13.5" customHeight="1" spans="1:15">
      <c r="A65" s="128" t="str">
        <f>商机统计!A15</f>
        <v>冯艺康</v>
      </c>
      <c r="B65" s="129">
        <f>商机统计!B15</f>
        <v>0</v>
      </c>
      <c r="C65" s="129">
        <f>商机统计!C15</f>
        <v>0</v>
      </c>
      <c r="D65" s="130">
        <f>商机统计!D15</f>
        <v>0</v>
      </c>
      <c r="E65"/>
      <c r="F65"/>
      <c r="G65" s="128" t="str">
        <f>商机统计!F15</f>
        <v>钟俊杰</v>
      </c>
      <c r="H65" s="129">
        <f>商机统计!G15</f>
        <v>1</v>
      </c>
      <c r="I65" s="129"/>
      <c r="J65" s="129">
        <f>商机统计!H15</f>
        <v>1.5</v>
      </c>
      <c r="K65" s="130">
        <f>商机统计!I15</f>
        <v>199</v>
      </c>
      <c r="O65"/>
    </row>
    <row r="66" ht="13.5" customHeight="1" spans="1:15">
      <c r="A66" s="131" t="s">
        <v>37</v>
      </c>
      <c r="B66" s="131">
        <f>SUM(B52:B65)</f>
        <v>70</v>
      </c>
      <c r="C66" s="131">
        <f>SUM(C52:C65)</f>
        <v>197.7</v>
      </c>
      <c r="D66" s="131">
        <f>SUM(D52:D65)</f>
        <v>29748</v>
      </c>
      <c r="E66"/>
      <c r="F66"/>
      <c r="G66" s="131" t="s">
        <v>37</v>
      </c>
      <c r="H66" s="131">
        <f>SUM(H52:H65)</f>
        <v>96</v>
      </c>
      <c r="I66" s="131"/>
      <c r="J66" s="131">
        <f>SUM(J52:J65)</f>
        <v>342.88</v>
      </c>
      <c r="K66" s="131">
        <f>SUM(K52:K65)</f>
        <v>56960</v>
      </c>
      <c r="O66"/>
    </row>
    <row r="67" spans="1:15">
      <c r="D67"/>
      <c r="E67"/>
      <c r="F67"/>
      <c r="G67"/>
      <c r="O67"/>
    </row>
    <row r="68" ht="13.5" customHeight="1" spans="1:15">
      <c r="D68"/>
      <c r="E68"/>
      <c r="F68"/>
      <c r="G68"/>
      <c r="O68"/>
    </row>
    <row r="69" ht="52" customHeight="1" spans="1:15">
      <c r="D69"/>
      <c r="E69"/>
      <c r="F69"/>
      <c r="G69"/>
      <c r="I69"/>
      <c r="J69"/>
      <c r="K69"/>
      <c r="O69"/>
    </row>
    <row r="70" ht="13.5" customHeight="1" spans="1:15">
      <c r="D70"/>
      <c r="E70"/>
      <c r="F70"/>
      <c r="G70"/>
      <c r="I70"/>
      <c r="J70"/>
      <c r="K70"/>
      <c r="O70"/>
    </row>
    <row r="71" spans="1:15">
      <c r="D71"/>
      <c r="E71"/>
      <c r="F71"/>
      <c r="G71"/>
      <c r="I71"/>
      <c r="J71"/>
      <c r="K71"/>
      <c r="O71"/>
    </row>
    <row r="72" spans="1:15">
      <c r="D72"/>
      <c r="E72"/>
      <c r="F72"/>
      <c r="G72"/>
      <c r="I72"/>
      <c r="J72"/>
      <c r="K72"/>
      <c r="O72"/>
    </row>
    <row r="73" spans="1:15">
      <c r="D73"/>
      <c r="E73"/>
      <c r="F73"/>
      <c r="G73"/>
      <c r="I73"/>
      <c r="J73"/>
      <c r="K73"/>
      <c r="O73"/>
    </row>
    <row r="74" spans="1:15">
      <c r="D74"/>
      <c r="E74"/>
      <c r="F74"/>
      <c r="G74"/>
      <c r="I74"/>
      <c r="J74"/>
      <c r="K74"/>
      <c r="O74"/>
    </row>
    <row r="75" ht="13.5" customHeight="1" spans="1:15">
      <c r="D75"/>
      <c r="E75"/>
      <c r="F75"/>
      <c r="G75"/>
      <c r="I75"/>
      <c r="J75"/>
      <c r="K75"/>
      <c r="O75"/>
    </row>
    <row r="76" spans="1:15">
      <c r="D76"/>
      <c r="E76"/>
      <c r="F76"/>
      <c r="G76"/>
      <c r="I76"/>
      <c r="J76"/>
      <c r="K76"/>
      <c r="O76"/>
    </row>
    <row r="77" spans="1:15">
      <c r="D77"/>
      <c r="E77"/>
      <c r="F77"/>
      <c r="G77"/>
      <c r="I77"/>
      <c r="J77"/>
      <c r="K77"/>
      <c r="O77"/>
    </row>
    <row r="78" spans="1:15">
      <c r="D78"/>
      <c r="E78"/>
      <c r="F78"/>
      <c r="G78"/>
      <c r="I78"/>
      <c r="J78"/>
      <c r="K78"/>
      <c r="O78"/>
    </row>
    <row r="79" spans="1:15">
      <c r="D79"/>
      <c r="E79"/>
      <c r="F79"/>
      <c r="G79"/>
      <c r="I79"/>
      <c r="J79"/>
      <c r="K79"/>
      <c r="O79"/>
    </row>
    <row r="80" spans="1:15">
      <c r="D80"/>
      <c r="E80"/>
      <c r="F80"/>
      <c r="G80"/>
      <c r="I80"/>
      <c r="J80"/>
      <c r="K80"/>
      <c r="O80"/>
    </row>
    <row r="81" ht="13.5" customHeight="1" spans="4:15">
      <c r="D81"/>
      <c r="E81"/>
      <c r="F81"/>
      <c r="G81"/>
      <c r="I81"/>
      <c r="J81"/>
      <c r="K81"/>
      <c r="O81"/>
    </row>
    <row r="82" spans="4:15">
      <c r="D82"/>
      <c r="E82"/>
      <c r="F82"/>
      <c r="G82"/>
      <c r="I82"/>
      <c r="J82"/>
      <c r="K82"/>
      <c r="O82"/>
    </row>
    <row r="83" spans="4:15">
      <c r="D83"/>
      <c r="E83"/>
      <c r="F83"/>
      <c r="G83"/>
      <c r="I83"/>
      <c r="J83"/>
      <c r="K83"/>
      <c r="O83"/>
    </row>
    <row r="84" ht="13.5" customHeight="1" spans="4:15">
      <c r="D84"/>
      <c r="E84"/>
      <c r="F84"/>
      <c r="G84"/>
      <c r="I84"/>
      <c r="J84"/>
      <c r="K84"/>
      <c r="O84"/>
    </row>
    <row r="85" ht="52" customHeight="1" spans="4:15">
      <c r="D85"/>
      <c r="E85"/>
      <c r="F85"/>
      <c r="G85"/>
      <c r="I85"/>
      <c r="J85"/>
      <c r="K85"/>
      <c r="O85"/>
    </row>
    <row r="86" ht="13.5" customHeight="1" spans="4:15">
      <c r="D86"/>
      <c r="E86"/>
      <c r="F86"/>
      <c r="G86"/>
      <c r="I86"/>
      <c r="J86"/>
      <c r="K86"/>
      <c r="O86"/>
    </row>
    <row r="87" spans="4:15">
      <c r="D87"/>
      <c r="E87"/>
      <c r="F87"/>
      <c r="G87"/>
      <c r="I87"/>
      <c r="J87"/>
      <c r="K87"/>
      <c r="O87"/>
    </row>
    <row r="88" spans="4:15">
      <c r="D88"/>
      <c r="E88"/>
      <c r="F88"/>
      <c r="G88"/>
      <c r="I88"/>
      <c r="J88"/>
      <c r="K88"/>
      <c r="O88"/>
    </row>
    <row r="89" spans="4:15">
      <c r="D89"/>
      <c r="E89"/>
      <c r="F89"/>
      <c r="G89"/>
      <c r="I89"/>
      <c r="J89"/>
      <c r="K89"/>
      <c r="O89"/>
    </row>
    <row r="90" spans="4:15">
      <c r="D90"/>
      <c r="E90"/>
      <c r="F90"/>
      <c r="G90"/>
      <c r="I90"/>
      <c r="J90"/>
      <c r="K90"/>
      <c r="O90"/>
    </row>
    <row r="91" ht="13.5" customHeight="1" spans="4:15">
      <c r="D91"/>
      <c r="E91"/>
      <c r="F91"/>
      <c r="G91"/>
      <c r="I91"/>
      <c r="J91"/>
      <c r="K91"/>
      <c r="O91"/>
    </row>
    <row r="92" spans="4:15">
      <c r="D92"/>
      <c r="E92"/>
      <c r="F92"/>
      <c r="G92"/>
      <c r="I92"/>
      <c r="J92"/>
      <c r="K92"/>
      <c r="O92"/>
    </row>
    <row r="93" spans="4:15">
      <c r="D93"/>
      <c r="E93"/>
      <c r="F93"/>
      <c r="G93"/>
      <c r="I93"/>
      <c r="J93"/>
      <c r="K93"/>
      <c r="O93"/>
    </row>
    <row r="94" ht="13.5" customHeight="1" spans="4:15">
      <c r="D94"/>
      <c r="E94"/>
      <c r="F94"/>
      <c r="G94"/>
      <c r="I94"/>
      <c r="J94"/>
      <c r="K94"/>
      <c r="O94"/>
    </row>
    <row r="95" ht="13.5" customHeight="1" spans="4:15">
      <c r="D95"/>
      <c r="E95"/>
      <c r="F95"/>
      <c r="G95"/>
      <c r="I95"/>
      <c r="J95"/>
      <c r="K95"/>
      <c r="O95"/>
    </row>
    <row r="96" spans="4:15">
      <c r="D96"/>
      <c r="E96"/>
      <c r="F96"/>
      <c r="G96"/>
      <c r="I96"/>
      <c r="J96"/>
      <c r="K96"/>
      <c r="O96"/>
    </row>
    <row r="97" spans="4:15">
      <c r="D97"/>
      <c r="E97"/>
      <c r="F97"/>
      <c r="G97"/>
      <c r="I97"/>
      <c r="J97"/>
      <c r="K97"/>
      <c r="O97"/>
    </row>
    <row r="98" ht="13.5" customHeight="1" spans="4:15">
      <c r="D98"/>
      <c r="E98"/>
      <c r="F98"/>
      <c r="G98"/>
      <c r="I98"/>
      <c r="J98"/>
      <c r="K98"/>
      <c r="O98"/>
    </row>
    <row r="99" ht="52" customHeight="1" spans="4:15">
      <c r="D99"/>
      <c r="E99"/>
      <c r="F99"/>
      <c r="G99"/>
      <c r="I99"/>
      <c r="J99"/>
      <c r="K99"/>
      <c r="O99"/>
    </row>
    <row r="100" ht="13.5" customHeight="1" spans="4:15">
      <c r="D100"/>
      <c r="E100"/>
      <c r="F100"/>
      <c r="G100"/>
      <c r="I100"/>
      <c r="J100"/>
      <c r="K100"/>
      <c r="O100"/>
    </row>
    <row r="101" spans="4:15">
      <c r="D101"/>
      <c r="E101"/>
      <c r="F101"/>
      <c r="G101"/>
      <c r="I101"/>
      <c r="J101"/>
      <c r="K101"/>
      <c r="O101"/>
    </row>
    <row r="102" spans="4:15">
      <c r="D102"/>
      <c r="E102"/>
      <c r="F102"/>
      <c r="G102"/>
      <c r="I102"/>
      <c r="J102"/>
      <c r="K102"/>
      <c r="O102"/>
    </row>
    <row r="103" spans="4:15">
      <c r="D103"/>
      <c r="E103"/>
      <c r="F103"/>
      <c r="G103"/>
      <c r="I103"/>
      <c r="J103"/>
      <c r="K103"/>
      <c r="O103"/>
    </row>
    <row r="104" spans="4:15">
      <c r="D104"/>
      <c r="E104"/>
      <c r="F104"/>
      <c r="G104"/>
      <c r="I104"/>
      <c r="J104"/>
      <c r="K104"/>
      <c r="O104"/>
    </row>
  </sheetData>
  <mergeCells count="33">
    <mergeCell ref="B1:R1"/>
    <mergeCell ref="B2:H2"/>
    <mergeCell ref="J2:O2"/>
    <mergeCell ref="P2:R2"/>
    <mergeCell ref="A30:B30"/>
    <mergeCell ref="A33:F33"/>
    <mergeCell ref="J33:N33"/>
    <mergeCell ref="P33:T33"/>
    <mergeCell ref="A43:B43"/>
    <mergeCell ref="A49:D49"/>
    <mergeCell ref="G49:K49"/>
    <mergeCell ref="A50:D50"/>
    <mergeCell ref="G50:K50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J20:J21"/>
    <mergeCell ref="J35:J38"/>
    <mergeCell ref="J39:J46"/>
    <mergeCell ref="K20:K21"/>
    <mergeCell ref="L20:L21"/>
    <mergeCell ref="M20:M21"/>
    <mergeCell ref="N20:N21"/>
    <mergeCell ref="A20:B21"/>
  </mergeCells>
  <conditionalFormatting sqref="F20">
    <cfRule type="cellIs" dxfId="6" priority="12" operator="equal">
      <formula>"是"</formula>
    </cfRule>
  </conditionalFormatting>
  <conditionalFormatting sqref="H4:H18">
    <cfRule type="cellIs" dxfId="6" priority="13" operator="equal">
      <formula>"是"</formula>
    </cfRule>
  </conditionalFormatting>
  <conditionalFormatting sqref="S35:S43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{7e9633ac-b9a7-477d-b85d-894e9dfcaebc}</x14:id>
        </ext>
      </extLst>
    </cfRule>
    <cfRule type="expression" dxfId="7" priority="2">
      <formula>AND(S35&lt;1,S35&lt;&gt;"")</formula>
    </cfRule>
  </conditionalFormatting>
  <pageMargins left="0.75" right="0.75" top="1" bottom="1" header="0.5" footer="0.5"/>
  <pageSetup paperSize="9" scale="44" orientation="portrait"/>
  <headerFooter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9633ac-b9a7-477d-b85d-894e9dfcaebc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S35:S43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79</v>
      </c>
    </row>
    <row r="2" spans="1:2">
      <c r="A2" t="s">
        <v>21</v>
      </c>
      <c r="B2">
        <v>5</v>
      </c>
    </row>
    <row r="3" spans="1:2">
      <c r="A3" t="s">
        <v>22</v>
      </c>
      <c r="B3">
        <v>1.5</v>
      </c>
    </row>
    <row r="4" spans="1:2">
      <c r="A4" t="s">
        <v>23</v>
      </c>
      <c r="B4">
        <v>8</v>
      </c>
    </row>
    <row r="5" spans="1:2">
      <c r="A5" t="s">
        <v>24</v>
      </c>
      <c r="B5">
        <v>4</v>
      </c>
    </row>
    <row r="6" spans="1:2">
      <c r="A6" t="s">
        <v>25</v>
      </c>
      <c r="B6">
        <v>9</v>
      </c>
    </row>
    <row r="7" spans="1:2">
      <c r="A7" t="s">
        <v>26</v>
      </c>
      <c r="B7">
        <v>8</v>
      </c>
    </row>
    <row r="8" spans="1:2">
      <c r="A8" t="s">
        <v>27</v>
      </c>
      <c r="B8">
        <v>0</v>
      </c>
    </row>
    <row r="9" spans="1:2">
      <c r="A9" t="s">
        <v>30</v>
      </c>
      <c r="B9">
        <v>14</v>
      </c>
    </row>
    <row r="10" spans="1:2">
      <c r="A10" t="s">
        <v>31</v>
      </c>
      <c r="B10">
        <v>18.98</v>
      </c>
    </row>
    <row r="11" spans="1:2">
      <c r="A11" t="s">
        <v>32</v>
      </c>
      <c r="B11">
        <v>4.5</v>
      </c>
    </row>
    <row r="12" spans="1:2">
      <c r="A12" t="s">
        <v>33</v>
      </c>
      <c r="B12">
        <v>12.5</v>
      </c>
    </row>
    <row r="13" spans="1:2">
      <c r="A13" t="s">
        <v>34</v>
      </c>
      <c r="B13">
        <v>14</v>
      </c>
    </row>
    <row r="14" spans="1:2">
      <c r="A14" t="s">
        <v>35</v>
      </c>
      <c r="B14">
        <v>10</v>
      </c>
    </row>
    <row r="15" spans="1:2">
      <c r="A15" t="s">
        <v>36</v>
      </c>
      <c r="B15">
        <v>3.5</v>
      </c>
    </row>
    <row r="16" spans="1:2">
      <c r="A16" t="s">
        <v>39</v>
      </c>
      <c r="B16">
        <v>114.48</v>
      </c>
    </row>
    <row r="17" spans="1:2">
      <c r="A17" t="s">
        <v>62</v>
      </c>
      <c r="B17">
        <v>246.45</v>
      </c>
    </row>
    <row r="18" spans="1:2">
      <c r="A18" t="s">
        <v>64</v>
      </c>
      <c r="B18">
        <v>349.81</v>
      </c>
    </row>
    <row r="19" spans="1:2">
      <c r="A19" t="s">
        <v>70</v>
      </c>
      <c r="B19">
        <v>115.13</v>
      </c>
    </row>
    <row r="20" spans="1:2">
      <c r="A20" t="s">
        <v>71</v>
      </c>
      <c r="B20">
        <v>118.17</v>
      </c>
    </row>
    <row r="21" spans="1:2">
      <c r="A21" t="s">
        <v>66</v>
      </c>
      <c r="B21">
        <v>112.25</v>
      </c>
    </row>
    <row r="22" spans="1:2">
      <c r="A22" t="s">
        <v>68</v>
      </c>
      <c r="B22">
        <v>94.65</v>
      </c>
    </row>
    <row r="23" spans="1:2">
      <c r="A23" t="s">
        <v>67</v>
      </c>
      <c r="B23">
        <v>106.42</v>
      </c>
    </row>
    <row r="24" spans="1:2">
      <c r="A24" t="s">
        <v>69</v>
      </c>
      <c r="B24">
        <v>82.79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D25" sqref="D25"/>
    </sheetView>
  </sheetViews>
  <sheetFormatPr defaultColWidth="9" defaultRowHeight="14" outlineLevelCol="1"/>
  <sheetData>
    <row r="1" spans="1:2">
      <c r="A1" s="1" t="s">
        <v>52</v>
      </c>
      <c r="B1" s="1" t="s">
        <v>18</v>
      </c>
    </row>
    <row r="2" spans="1:2">
      <c r="A2" t="s">
        <v>21</v>
      </c>
      <c r="B2">
        <v>4</v>
      </c>
    </row>
    <row r="3" spans="1:2">
      <c r="A3" t="s">
        <v>22</v>
      </c>
      <c r="B3">
        <v>0</v>
      </c>
    </row>
    <row r="4" spans="1:2">
      <c r="A4" t="s">
        <v>23</v>
      </c>
      <c r="B4">
        <v>0</v>
      </c>
    </row>
    <row r="5" spans="1:2">
      <c r="A5" t="s">
        <v>24</v>
      </c>
      <c r="B5">
        <v>3</v>
      </c>
    </row>
    <row r="6" spans="1:2">
      <c r="A6" t="s">
        <v>25</v>
      </c>
      <c r="B6">
        <v>13</v>
      </c>
    </row>
    <row r="7" spans="1:2">
      <c r="A7" t="s">
        <v>26</v>
      </c>
      <c r="B7">
        <v>2</v>
      </c>
    </row>
    <row r="8" spans="1:2">
      <c r="A8" t="s">
        <v>27</v>
      </c>
      <c r="B8">
        <v>0</v>
      </c>
    </row>
    <row r="9" spans="1:2">
      <c r="A9" t="s">
        <v>30</v>
      </c>
      <c r="B9">
        <v>17</v>
      </c>
    </row>
    <row r="10" spans="1:2">
      <c r="A10" t="s">
        <v>31</v>
      </c>
      <c r="B10">
        <v>26</v>
      </c>
    </row>
    <row r="11" spans="1:2">
      <c r="A11" t="s">
        <v>32</v>
      </c>
      <c r="B11">
        <v>3</v>
      </c>
    </row>
    <row r="12" spans="1:2">
      <c r="A12" t="s">
        <v>33</v>
      </c>
      <c r="B12">
        <v>11</v>
      </c>
    </row>
    <row r="13" spans="1:2">
      <c r="A13" t="s">
        <v>34</v>
      </c>
      <c r="B13">
        <v>16</v>
      </c>
    </row>
    <row r="14" spans="1:2">
      <c r="A14" t="s">
        <v>35</v>
      </c>
      <c r="B14">
        <v>9</v>
      </c>
    </row>
    <row r="15" spans="1:2">
      <c r="A15" t="s">
        <v>36</v>
      </c>
      <c r="B15">
        <v>6</v>
      </c>
    </row>
    <row r="16" spans="1:2">
      <c r="A16" t="s">
        <v>39</v>
      </c>
      <c r="B16">
        <v>274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9" defaultRowHeight="14" outlineLevelCol="3"/>
  <sheetData>
    <row r="1" spans="1:4">
      <c r="A1" s="1" t="s">
        <v>52</v>
      </c>
      <c r="B1" s="1" t="s">
        <v>1</v>
      </c>
      <c r="C1" s="1" t="s">
        <v>13</v>
      </c>
      <c r="D1" s="1" t="s">
        <v>80</v>
      </c>
    </row>
    <row r="2" spans="1:4">
      <c r="A2" t="s">
        <v>21</v>
      </c>
      <c r="B2">
        <v>6.5</v>
      </c>
      <c r="C2">
        <v>936</v>
      </c>
      <c r="D2">
        <v>648</v>
      </c>
    </row>
    <row r="3" spans="1:4">
      <c r="A3" t="s">
        <v>22</v>
      </c>
      <c r="B3">
        <v>6</v>
      </c>
      <c r="C3">
        <v>1059.34</v>
      </c>
      <c r="D3">
        <v>756.66</v>
      </c>
    </row>
    <row r="4" spans="1:4">
      <c r="A4" t="s">
        <v>23</v>
      </c>
      <c r="B4">
        <v>9.5</v>
      </c>
      <c r="C4">
        <v>1445.54</v>
      </c>
      <c r="D4">
        <v>1316</v>
      </c>
    </row>
    <row r="5" spans="1:4">
      <c r="A5" t="s">
        <v>24</v>
      </c>
      <c r="B5">
        <v>5.5</v>
      </c>
      <c r="C5">
        <v>1036.17</v>
      </c>
      <c r="D5">
        <v>752.61</v>
      </c>
    </row>
    <row r="6" spans="1:4">
      <c r="A6" t="s">
        <v>25</v>
      </c>
      <c r="B6">
        <v>9</v>
      </c>
      <c r="C6">
        <v>1231.67</v>
      </c>
      <c r="D6">
        <v>1150.67</v>
      </c>
    </row>
    <row r="7" spans="1:4">
      <c r="A7" t="s">
        <v>26</v>
      </c>
      <c r="B7">
        <v>14.5</v>
      </c>
      <c r="C7">
        <v>2619.81</v>
      </c>
      <c r="D7">
        <v>2050</v>
      </c>
    </row>
    <row r="8" spans="1:4">
      <c r="A8" t="s">
        <v>27</v>
      </c>
      <c r="B8">
        <v>3</v>
      </c>
      <c r="C8">
        <v>2978</v>
      </c>
      <c r="D8">
        <v>2652</v>
      </c>
    </row>
    <row r="9" spans="1:4">
      <c r="A9" t="s">
        <v>30</v>
      </c>
      <c r="B9">
        <v>18</v>
      </c>
      <c r="C9">
        <v>3446</v>
      </c>
      <c r="D9">
        <v>3047</v>
      </c>
    </row>
    <row r="10" spans="1:4">
      <c r="A10" t="s">
        <v>31</v>
      </c>
      <c r="B10">
        <v>22.98</v>
      </c>
      <c r="C10">
        <v>2703.2</v>
      </c>
      <c r="D10">
        <v>2103.2</v>
      </c>
    </row>
    <row r="11" spans="1:4">
      <c r="A11" t="s">
        <v>32</v>
      </c>
      <c r="B11">
        <v>4.5</v>
      </c>
      <c r="C11">
        <v>828</v>
      </c>
      <c r="D11">
        <v>818</v>
      </c>
    </row>
    <row r="12" spans="1:4">
      <c r="A12" t="s">
        <v>33</v>
      </c>
      <c r="B12">
        <v>15</v>
      </c>
      <c r="C12">
        <v>3907</v>
      </c>
      <c r="D12">
        <v>2868</v>
      </c>
    </row>
    <row r="13" spans="1:4">
      <c r="A13" t="s">
        <v>34</v>
      </c>
      <c r="B13">
        <v>14</v>
      </c>
      <c r="C13">
        <v>2137.65</v>
      </c>
      <c r="D13">
        <v>1430</v>
      </c>
    </row>
    <row r="14" spans="1:4">
      <c r="A14" t="s">
        <v>35</v>
      </c>
      <c r="B14">
        <v>10</v>
      </c>
      <c r="C14">
        <v>1019</v>
      </c>
      <c r="D14">
        <v>69</v>
      </c>
    </row>
    <row r="15" spans="1:4">
      <c r="A15" t="s">
        <v>36</v>
      </c>
      <c r="B15">
        <v>3.5</v>
      </c>
      <c r="C15">
        <v>-127.05</v>
      </c>
      <c r="D15">
        <v>470</v>
      </c>
    </row>
    <row r="16" spans="1:4">
      <c r="A16" t="s">
        <v>41</v>
      </c>
      <c r="B16">
        <v>0</v>
      </c>
      <c r="C16">
        <v>0</v>
      </c>
      <c r="D16">
        <v>0</v>
      </c>
    </row>
    <row r="17" spans="1:4">
      <c r="A17" t="s">
        <v>43</v>
      </c>
      <c r="B17">
        <v>0</v>
      </c>
      <c r="C17">
        <v>0</v>
      </c>
      <c r="D17">
        <v>0</v>
      </c>
    </row>
    <row r="18" spans="1:4">
      <c r="A18" t="s">
        <v>44</v>
      </c>
      <c r="B18">
        <v>0</v>
      </c>
      <c r="C18">
        <v>0</v>
      </c>
      <c r="D18">
        <v>0</v>
      </c>
    </row>
    <row r="19" spans="1:4">
      <c r="A19" t="s">
        <v>45</v>
      </c>
      <c r="B19">
        <v>2</v>
      </c>
      <c r="C19">
        <v>138.6</v>
      </c>
      <c r="D19">
        <v>0</v>
      </c>
    </row>
    <row r="20" spans="1:4">
      <c r="A20" t="s">
        <v>46</v>
      </c>
      <c r="B20">
        <v>0</v>
      </c>
      <c r="C20">
        <v>0</v>
      </c>
      <c r="D20">
        <v>0</v>
      </c>
    </row>
    <row r="21" spans="1:4">
      <c r="A21" t="s">
        <v>47</v>
      </c>
      <c r="B21">
        <v>1.5</v>
      </c>
      <c r="C21">
        <v>239</v>
      </c>
      <c r="D21">
        <v>239</v>
      </c>
    </row>
    <row r="22" spans="1:4">
      <c r="A22" t="s">
        <v>48</v>
      </c>
      <c r="B22">
        <v>0</v>
      </c>
      <c r="C22">
        <v>0</v>
      </c>
      <c r="D22">
        <v>0</v>
      </c>
    </row>
    <row r="23" spans="1:4">
      <c r="A23" t="s">
        <v>49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1" t="s">
        <v>52</v>
      </c>
      <c r="B1" s="1" t="s">
        <v>79</v>
      </c>
      <c r="C1" t="s">
        <v>53</v>
      </c>
    </row>
    <row r="2" spans="1:3">
      <c r="A2" t="s">
        <v>41</v>
      </c>
      <c r="B2">
        <v>0</v>
      </c>
      <c r="C2">
        <v>1</v>
      </c>
    </row>
    <row r="3" spans="1:3">
      <c r="A3" t="s">
        <v>43</v>
      </c>
      <c r="B3">
        <v>0</v>
      </c>
      <c r="C3">
        <v>1</v>
      </c>
    </row>
    <row r="4" spans="1:3">
      <c r="A4" t="s">
        <v>44</v>
      </c>
      <c r="B4">
        <v>0</v>
      </c>
      <c r="C4">
        <v>1</v>
      </c>
    </row>
    <row r="5" spans="1:3">
      <c r="A5" t="s">
        <v>45</v>
      </c>
      <c r="B5">
        <v>2</v>
      </c>
      <c r="C5">
        <v>1</v>
      </c>
    </row>
    <row r="6" spans="1:3">
      <c r="A6" t="s">
        <v>46</v>
      </c>
      <c r="B6">
        <v>0</v>
      </c>
      <c r="C6">
        <v>1</v>
      </c>
    </row>
    <row r="7" spans="1:3">
      <c r="A7" t="s">
        <v>47</v>
      </c>
      <c r="B7">
        <v>1.5</v>
      </c>
      <c r="C7">
        <v>1</v>
      </c>
    </row>
    <row r="8" spans="1:3">
      <c r="A8" t="s">
        <v>48</v>
      </c>
      <c r="B8">
        <v>0</v>
      </c>
      <c r="C8">
        <v>1</v>
      </c>
    </row>
    <row r="9" spans="1:3">
      <c r="A9" t="s">
        <v>49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79</v>
      </c>
    </row>
    <row r="2" spans="1:2">
      <c r="A2" t="s">
        <v>21</v>
      </c>
      <c r="B2">
        <v>6.5</v>
      </c>
    </row>
    <row r="3" spans="1:2">
      <c r="A3" t="s">
        <v>22</v>
      </c>
      <c r="B3">
        <v>6</v>
      </c>
    </row>
    <row r="4" spans="1:2">
      <c r="A4" t="s">
        <v>23</v>
      </c>
      <c r="B4">
        <v>9.5</v>
      </c>
    </row>
    <row r="5" spans="1:2">
      <c r="A5" t="s">
        <v>24</v>
      </c>
      <c r="B5">
        <v>5.5</v>
      </c>
    </row>
    <row r="6" spans="1:2">
      <c r="A6" t="s">
        <v>25</v>
      </c>
      <c r="B6">
        <v>9</v>
      </c>
    </row>
    <row r="7" spans="1:2">
      <c r="A7" t="s">
        <v>26</v>
      </c>
      <c r="B7">
        <v>14.5</v>
      </c>
    </row>
    <row r="8" spans="1:2">
      <c r="A8" t="s">
        <v>27</v>
      </c>
      <c r="B8">
        <v>3</v>
      </c>
    </row>
    <row r="9" spans="1:2">
      <c r="A9" t="s">
        <v>30</v>
      </c>
      <c r="B9">
        <v>18</v>
      </c>
    </row>
    <row r="10" spans="1:2">
      <c r="A10" t="s">
        <v>31</v>
      </c>
      <c r="B10">
        <v>22.98</v>
      </c>
    </row>
    <row r="11" spans="1:2">
      <c r="A11" t="s">
        <v>32</v>
      </c>
      <c r="B11">
        <v>4.5</v>
      </c>
    </row>
    <row r="12" spans="1:2">
      <c r="A12" t="s">
        <v>33</v>
      </c>
      <c r="B12">
        <v>15</v>
      </c>
    </row>
    <row r="13" spans="1:2">
      <c r="A13" t="s">
        <v>34</v>
      </c>
      <c r="B13">
        <v>14</v>
      </c>
    </row>
    <row r="14" spans="1:2">
      <c r="A14" t="s">
        <v>35</v>
      </c>
      <c r="B14">
        <v>10</v>
      </c>
    </row>
    <row r="15" spans="1:2">
      <c r="A15" t="s">
        <v>36</v>
      </c>
      <c r="B15">
        <v>3.5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8" t="s">
        <v>4</v>
      </c>
      <c r="B1" s="9" t="s">
        <v>76</v>
      </c>
      <c r="C1" s="9" t="s">
        <v>77</v>
      </c>
      <c r="D1" s="10" t="s">
        <v>78</v>
      </c>
      <c r="F1" s="8" t="s">
        <v>4</v>
      </c>
      <c r="G1" s="9" t="s">
        <v>76</v>
      </c>
      <c r="H1" s="9" t="s">
        <v>77</v>
      </c>
      <c r="I1" s="10" t="s">
        <v>78</v>
      </c>
    </row>
    <row r="2" spans="1:9">
      <c r="A2" t="s">
        <v>31</v>
      </c>
      <c r="B2">
        <v>14</v>
      </c>
      <c r="C2">
        <v>47.5</v>
      </c>
      <c r="D2">
        <v>5190</v>
      </c>
      <c r="F2" t="s">
        <v>31</v>
      </c>
      <c r="G2">
        <v>17</v>
      </c>
      <c r="H2">
        <v>60.5</v>
      </c>
      <c r="I2">
        <v>6798</v>
      </c>
    </row>
    <row r="3" spans="1:9">
      <c r="A3" t="s">
        <v>23</v>
      </c>
      <c r="B3">
        <v>10</v>
      </c>
      <c r="C3">
        <v>40.9</v>
      </c>
      <c r="D3">
        <v>6793</v>
      </c>
      <c r="F3" t="s">
        <v>24</v>
      </c>
      <c r="G3">
        <v>5</v>
      </c>
      <c r="H3">
        <v>49.2</v>
      </c>
      <c r="I3">
        <v>6479</v>
      </c>
    </row>
    <row r="4" spans="1:9">
      <c r="A4" t="s">
        <v>36</v>
      </c>
      <c r="B4">
        <v>8</v>
      </c>
      <c r="C4">
        <v>20.5</v>
      </c>
      <c r="D4">
        <v>4882</v>
      </c>
      <c r="F4" t="s">
        <v>23</v>
      </c>
      <c r="G4">
        <v>11</v>
      </c>
      <c r="H4">
        <v>43.9</v>
      </c>
      <c r="I4">
        <v>7393</v>
      </c>
    </row>
    <row r="5" spans="1:9">
      <c r="A5" t="s">
        <v>35</v>
      </c>
      <c r="B5">
        <v>10</v>
      </c>
      <c r="C5">
        <v>20</v>
      </c>
      <c r="D5">
        <v>4375</v>
      </c>
      <c r="F5" t="s">
        <v>33</v>
      </c>
      <c r="G5">
        <v>10</v>
      </c>
      <c r="H5">
        <v>36.8</v>
      </c>
      <c r="I5">
        <v>6317</v>
      </c>
    </row>
    <row r="6" spans="1:9">
      <c r="A6" t="s">
        <v>33</v>
      </c>
      <c r="B6">
        <v>6</v>
      </c>
      <c r="C6">
        <v>19.8</v>
      </c>
      <c r="D6">
        <v>1400</v>
      </c>
      <c r="F6" t="s">
        <v>35</v>
      </c>
      <c r="G6">
        <v>11</v>
      </c>
      <c r="H6">
        <v>23</v>
      </c>
      <c r="I6">
        <v>5575</v>
      </c>
    </row>
    <row r="7" spans="1:9">
      <c r="A7" t="s">
        <v>25</v>
      </c>
      <c r="B7">
        <v>3</v>
      </c>
      <c r="C7">
        <v>14</v>
      </c>
      <c r="D7">
        <v>1329</v>
      </c>
      <c r="F7" t="s">
        <v>36</v>
      </c>
      <c r="G7">
        <v>10</v>
      </c>
      <c r="H7">
        <v>22.5</v>
      </c>
      <c r="I7">
        <v>5181</v>
      </c>
    </row>
    <row r="8" spans="1:9">
      <c r="A8" t="s">
        <v>26</v>
      </c>
      <c r="B8">
        <v>4</v>
      </c>
      <c r="C8">
        <v>12</v>
      </c>
      <c r="D8">
        <v>2280</v>
      </c>
      <c r="F8" t="s">
        <v>27</v>
      </c>
      <c r="G8">
        <v>4</v>
      </c>
      <c r="H8">
        <v>22</v>
      </c>
      <c r="I8">
        <v>4216</v>
      </c>
    </row>
    <row r="9" spans="1:9">
      <c r="A9" t="s">
        <v>34</v>
      </c>
      <c r="B9">
        <v>6</v>
      </c>
      <c r="C9">
        <v>9.5</v>
      </c>
      <c r="D9">
        <v>1184</v>
      </c>
      <c r="F9" t="s">
        <v>34</v>
      </c>
      <c r="G9">
        <v>8</v>
      </c>
      <c r="H9">
        <v>19.5</v>
      </c>
      <c r="I9">
        <v>3820</v>
      </c>
    </row>
    <row r="10" spans="1:9">
      <c r="A10" t="s">
        <v>22</v>
      </c>
      <c r="B10">
        <v>5</v>
      </c>
      <c r="C10">
        <v>8.5</v>
      </c>
      <c r="D10">
        <v>1498</v>
      </c>
      <c r="F10" t="s">
        <v>32</v>
      </c>
      <c r="G10">
        <v>4</v>
      </c>
      <c r="H10">
        <v>18.48</v>
      </c>
      <c r="I10">
        <v>3675</v>
      </c>
    </row>
    <row r="11" spans="1:9">
      <c r="A11" t="s">
        <v>21</v>
      </c>
      <c r="B11">
        <v>1</v>
      </c>
      <c r="C11">
        <v>1.5</v>
      </c>
      <c r="D11">
        <v>199</v>
      </c>
      <c r="F11" t="s">
        <v>26</v>
      </c>
      <c r="G11">
        <v>5</v>
      </c>
      <c r="H11">
        <v>16</v>
      </c>
      <c r="I11">
        <v>3080</v>
      </c>
    </row>
    <row r="12" spans="1:9">
      <c r="A12" t="s">
        <v>32</v>
      </c>
      <c r="B12">
        <v>1</v>
      </c>
      <c r="C12">
        <v>1.5</v>
      </c>
      <c r="D12">
        <v>280</v>
      </c>
      <c r="F12" t="s">
        <v>25</v>
      </c>
      <c r="G12">
        <v>4</v>
      </c>
      <c r="H12">
        <v>15</v>
      </c>
      <c r="I12">
        <v>1529</v>
      </c>
    </row>
    <row r="13" spans="1:9">
      <c r="A13" t="s">
        <v>24</v>
      </c>
      <c r="B13">
        <v>1</v>
      </c>
      <c r="C13">
        <v>1</v>
      </c>
      <c r="D13">
        <v>169</v>
      </c>
      <c r="F13" t="s">
        <v>22</v>
      </c>
      <c r="G13">
        <v>5</v>
      </c>
      <c r="H13">
        <v>8.5</v>
      </c>
      <c r="I13">
        <v>1498</v>
      </c>
    </row>
    <row r="14" spans="1:9">
      <c r="A14" t="s">
        <v>27</v>
      </c>
      <c r="B14">
        <v>1</v>
      </c>
      <c r="C14">
        <v>1</v>
      </c>
      <c r="D14">
        <v>169</v>
      </c>
      <c r="F14" t="s">
        <v>30</v>
      </c>
      <c r="G14">
        <v>1</v>
      </c>
      <c r="H14">
        <v>6</v>
      </c>
      <c r="I14">
        <v>1200</v>
      </c>
    </row>
    <row r="15" spans="1:9">
      <c r="A15" t="s">
        <v>30</v>
      </c>
      <c r="B15">
        <v>0</v>
      </c>
      <c r="C15">
        <v>0</v>
      </c>
      <c r="D15">
        <v>0</v>
      </c>
      <c r="F15" t="s">
        <v>21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G6" sqref="G6"/>
    </sheetView>
  </sheetViews>
  <sheetFormatPr defaultColWidth="8.72727272727273" defaultRowHeight="14"/>
  <sheetData>
    <row r="1" ht="14.75" customHeight="1" spans="1:13">
      <c r="A1" t="s">
        <v>51</v>
      </c>
      <c r="B1" t="s">
        <v>52</v>
      </c>
      <c r="C1" t="s">
        <v>17</v>
      </c>
      <c r="D1" t="s">
        <v>18</v>
      </c>
      <c r="E1" t="s">
        <v>19</v>
      </c>
      <c r="J1" s="2" t="s">
        <v>81</v>
      </c>
      <c r="K1" s="2" t="s">
        <v>82</v>
      </c>
      <c r="L1" s="3" t="s">
        <v>83</v>
      </c>
      <c r="M1" s="4" t="s">
        <v>84</v>
      </c>
    </row>
    <row r="2" ht="14.75" customHeight="1" spans="1:13">
      <c r="A2" t="s">
        <v>59</v>
      </c>
      <c r="B2" s="5" t="s">
        <v>60</v>
      </c>
      <c r="C2">
        <v>60</v>
      </c>
      <c r="D2">
        <f t="array" ref="D2">SUMPRODUCT(SUMIF(全光组网!A:A,$J$2:$J$16,全光组网!B:B)*($M$2:$M$16=B2))</f>
        <v>19</v>
      </c>
      <c r="E2" s="6">
        <f t="shared" ref="E2:E13" si="0">D2/C2</f>
        <v>0.316666666666667</v>
      </c>
      <c r="J2" s="2" t="s">
        <v>33</v>
      </c>
      <c r="K2" s="2" t="s">
        <v>41</v>
      </c>
      <c r="L2" s="2" t="s">
        <v>85</v>
      </c>
      <c r="M2" s="7" t="s">
        <v>61</v>
      </c>
    </row>
    <row r="3" ht="14.75" customHeight="1" spans="1:13">
      <c r="A3" t="s">
        <v>59</v>
      </c>
      <c r="B3" s="5" t="s">
        <v>61</v>
      </c>
      <c r="C3">
        <v>60</v>
      </c>
      <c r="D3">
        <f t="array" ref="D3">SUMPRODUCT(SUMIF(全光组网!A:A,$J$2:$J$16,全光组网!B:B)*($M$2:$M$16=B3))</f>
        <v>17</v>
      </c>
      <c r="E3" s="6">
        <f t="shared" si="0"/>
        <v>0.283333333333333</v>
      </c>
      <c r="J3" s="7" t="s">
        <v>27</v>
      </c>
      <c r="K3" s="7" t="s">
        <v>41</v>
      </c>
      <c r="L3" s="7" t="s">
        <v>85</v>
      </c>
      <c r="M3" s="7" t="s">
        <v>61</v>
      </c>
    </row>
    <row r="4" ht="14.75" customHeight="1" spans="1:13">
      <c r="A4" t="s">
        <v>59</v>
      </c>
      <c r="B4" s="5" t="s">
        <v>63</v>
      </c>
      <c r="C4">
        <v>60</v>
      </c>
      <c r="D4">
        <f t="array" ref="D4">SUMPRODUCT(SUMIF(全光组网!A:A,$J$2:$J$16,全光组网!B:B)*($M$2:$M$16=B4))</f>
        <v>59</v>
      </c>
      <c r="E4" s="6">
        <f t="shared" si="0"/>
        <v>0.983333333333333</v>
      </c>
      <c r="J4" s="7" t="s">
        <v>26</v>
      </c>
      <c r="K4" s="7" t="s">
        <v>43</v>
      </c>
      <c r="L4" s="7" t="s">
        <v>86</v>
      </c>
      <c r="M4" s="7" t="s">
        <v>61</v>
      </c>
    </row>
    <row r="5" ht="14.75" customHeight="1" spans="1:13">
      <c r="A5" t="s">
        <v>59</v>
      </c>
      <c r="B5" s="5" t="s">
        <v>65</v>
      </c>
      <c r="C5">
        <v>45</v>
      </c>
      <c r="D5" cm="1">
        <f t="array" ref="D5">SUMPRODUCT(SUMIF(全光组网!A:A,$J$2:$J$16,全光组网!B:B)*($M$2:$M$16=B5))</f>
        <v>15</v>
      </c>
      <c r="E5" s="6">
        <f t="shared" si="0"/>
        <v>0.333333333333333</v>
      </c>
      <c r="J5" s="7" t="s">
        <v>21</v>
      </c>
      <c r="K5" s="7" t="s">
        <v>43</v>
      </c>
      <c r="L5" s="7" t="s">
        <v>86</v>
      </c>
      <c r="M5" s="7" t="s">
        <v>61</v>
      </c>
    </row>
    <row r="6" ht="14.75" customHeight="1" spans="1:13">
      <c r="A6" t="s">
        <v>40</v>
      </c>
      <c r="B6" s="5" t="s">
        <v>41</v>
      </c>
      <c r="C6">
        <v>30</v>
      </c>
      <c r="D6" cm="1">
        <f t="array" ref="D6">SUMPRODUCT(SUMIF(全光组网!A:A,$J$2:$J$16,全光组网!B:B)*($K$2:$K$16=B6))</f>
        <v>11</v>
      </c>
      <c r="E6" s="6">
        <f t="shared" si="0"/>
        <v>0.366666666666667</v>
      </c>
      <c r="J6" s="7" t="s">
        <v>32</v>
      </c>
      <c r="K6" s="7" t="s">
        <v>44</v>
      </c>
      <c r="L6" s="7" t="s">
        <v>86</v>
      </c>
      <c r="M6" s="7" t="s">
        <v>60</v>
      </c>
    </row>
    <row r="7" ht="14.75" customHeight="1" spans="1:13">
      <c r="A7" t="s">
        <v>40</v>
      </c>
      <c r="B7" s="5" t="s">
        <v>43</v>
      </c>
      <c r="C7">
        <v>30</v>
      </c>
      <c r="D7">
        <f t="array" ref="D7">SUMPRODUCT(SUMIF(全光组网!A:A,$J$2:$J$16,全光组网!B:B)*($K$2:$K$16=B7))</f>
        <v>6</v>
      </c>
      <c r="E7" s="6">
        <f t="shared" si="0"/>
        <v>0.2</v>
      </c>
      <c r="J7" s="7" t="s">
        <v>24</v>
      </c>
      <c r="K7" s="7" t="s">
        <v>44</v>
      </c>
      <c r="L7" s="7" t="s">
        <v>86</v>
      </c>
      <c r="M7" s="7" t="s">
        <v>60</v>
      </c>
    </row>
    <row r="8" ht="14.75" customHeight="1" spans="1:13">
      <c r="A8" t="s">
        <v>40</v>
      </c>
      <c r="B8" s="5" t="s">
        <v>44</v>
      </c>
      <c r="C8">
        <v>30</v>
      </c>
      <c r="D8">
        <f t="array" ref="D8">SUMPRODUCT(SUMIF(全光组网!A:A,$J$2:$J$16,全光组网!B:B)*($K$2:$K$16=B8))</f>
        <v>6</v>
      </c>
      <c r="E8" s="6">
        <f t="shared" si="0"/>
        <v>0.2</v>
      </c>
      <c r="J8" s="7" t="s">
        <v>23</v>
      </c>
      <c r="K8" s="7" t="s">
        <v>45</v>
      </c>
      <c r="L8" s="7" t="s">
        <v>87</v>
      </c>
      <c r="M8" s="7" t="s">
        <v>60</v>
      </c>
    </row>
    <row r="9" ht="14.75" customHeight="1" spans="1:13">
      <c r="A9" t="s">
        <v>40</v>
      </c>
      <c r="B9" s="5" t="s">
        <v>45</v>
      </c>
      <c r="C9">
        <v>30</v>
      </c>
      <c r="D9">
        <f t="array" ref="D9">SUMPRODUCT(SUMIF(全光组网!A:A,$J$2:$J$16,全光组网!B:B)*($K$2:$K$16=B9))</f>
        <v>13</v>
      </c>
      <c r="E9" s="6">
        <f t="shared" si="0"/>
        <v>0.433333333333333</v>
      </c>
      <c r="J9" s="7" t="s">
        <v>25</v>
      </c>
      <c r="K9" s="7" t="s">
        <v>45</v>
      </c>
      <c r="L9" s="7" t="s">
        <v>87</v>
      </c>
      <c r="M9" s="7" t="s">
        <v>60</v>
      </c>
    </row>
    <row r="10" ht="14.75" customHeight="1" spans="1:13">
      <c r="A10" t="s">
        <v>40</v>
      </c>
      <c r="B10" s="5" t="s">
        <v>46</v>
      </c>
      <c r="C10">
        <v>30</v>
      </c>
      <c r="D10">
        <f t="array" ref="D10">SUMPRODUCT(SUMIF(全光组网!A:A,$J$2:$J$16,全光组网!B:B)*($K$2:$K$16=B10))</f>
        <v>43</v>
      </c>
      <c r="E10" s="6">
        <f t="shared" si="0"/>
        <v>1.43333333333333</v>
      </c>
      <c r="J10" s="7" t="s">
        <v>30</v>
      </c>
      <c r="K10" s="7" t="s">
        <v>46</v>
      </c>
      <c r="L10" s="7" t="s">
        <v>87</v>
      </c>
      <c r="M10" s="7" t="s">
        <v>63</v>
      </c>
    </row>
    <row r="11" ht="14.75" customHeight="1" spans="1:13">
      <c r="A11" t="s">
        <v>40</v>
      </c>
      <c r="B11" s="5" t="s">
        <v>47</v>
      </c>
      <c r="C11">
        <v>30</v>
      </c>
      <c r="D11" cm="1">
        <f t="array" ref="D11">SUMPRODUCT(SUMIF(全光组网!A:A,$J$2:$J$16,全光组网!B:B)*($K$2:$K$16=B11))</f>
        <v>16</v>
      </c>
      <c r="E11" s="6">
        <f t="shared" si="0"/>
        <v>0.533333333333333</v>
      </c>
      <c r="J11" s="7" t="s">
        <v>31</v>
      </c>
      <c r="K11" s="7" t="s">
        <v>46</v>
      </c>
      <c r="L11" s="7" t="s">
        <v>87</v>
      </c>
      <c r="M11" s="7" t="s">
        <v>63</v>
      </c>
    </row>
    <row r="12" ht="14.75" customHeight="1" spans="1:13">
      <c r="A12" t="s">
        <v>40</v>
      </c>
      <c r="B12" s="5" t="s">
        <v>48</v>
      </c>
      <c r="C12">
        <v>30</v>
      </c>
      <c r="D12">
        <f t="array" ref="D12">SUMPRODUCT(SUMIF(全光组网!A:A,$J$2:$J$16,全光组网!B:B)*($K$2:$K$16=B12))</f>
        <v>15</v>
      </c>
      <c r="E12" s="6">
        <f t="shared" si="0"/>
        <v>0.5</v>
      </c>
      <c r="J12" s="7" t="s">
        <v>34</v>
      </c>
      <c r="K12" s="7" t="s">
        <v>47</v>
      </c>
      <c r="L12" s="7" t="s">
        <v>85</v>
      </c>
      <c r="M12" s="7" t="s">
        <v>63</v>
      </c>
    </row>
    <row r="13" ht="14.75" customHeight="1" spans="1:13">
      <c r="A13" t="s">
        <v>40</v>
      </c>
      <c r="B13" s="5" t="s">
        <v>49</v>
      </c>
      <c r="C13">
        <v>25</v>
      </c>
      <c r="D13" cm="1">
        <f t="array" ref="D13">SUMPRODUCT(SUMIF(全光组网!A:A,$J$2:$J$16,全光组网!B:B)*($K$2:$K$16=B13))</f>
        <v>0</v>
      </c>
      <c r="E13" s="6">
        <f t="shared" si="0"/>
        <v>0</v>
      </c>
      <c r="J13" s="7" t="s">
        <v>22</v>
      </c>
      <c r="K13" s="7" t="s">
        <v>47</v>
      </c>
      <c r="L13" s="7" t="s">
        <v>85</v>
      </c>
      <c r="M13" s="7" t="s">
        <v>63</v>
      </c>
    </row>
    <row r="14" ht="14.75" customHeight="1" spans="1:13">
      <c r="J14" s="7" t="s">
        <v>36</v>
      </c>
      <c r="K14" s="7" t="s">
        <v>48</v>
      </c>
      <c r="L14" s="7" t="s">
        <v>87</v>
      </c>
      <c r="M14" s="7" t="s">
        <v>65</v>
      </c>
    </row>
    <row r="15" ht="14.75" customHeight="1" spans="1:13">
      <c r="J15" s="7" t="s">
        <v>35</v>
      </c>
      <c r="K15" s="7" t="s">
        <v>48</v>
      </c>
      <c r="L15" s="7" t="s">
        <v>87</v>
      </c>
      <c r="M15" s="7" t="s">
        <v>65</v>
      </c>
    </row>
    <row r="16" ht="14.75" customHeight="1" spans="1:13">
      <c r="J16" s="7" t="s">
        <v>88</v>
      </c>
      <c r="K16" s="7" t="s">
        <v>89</v>
      </c>
      <c r="L16" s="7" t="s">
        <v>85</v>
      </c>
      <c r="M16" s="7" t="s">
        <v>65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90</v>
      </c>
    </row>
    <row r="2" spans="1:2">
      <c r="A2" t="s">
        <v>21</v>
      </c>
      <c r="B2">
        <v>3241.5</v>
      </c>
    </row>
    <row r="3" spans="1:2">
      <c r="A3" t="s">
        <v>22</v>
      </c>
      <c r="B3">
        <v>1774.27</v>
      </c>
    </row>
    <row r="4" spans="1:2">
      <c r="A4" t="s">
        <v>23</v>
      </c>
      <c r="B4">
        <v>4097.34</v>
      </c>
    </row>
    <row r="5" spans="1:2">
      <c r="A5" t="s">
        <v>24</v>
      </c>
      <c r="B5">
        <v>2635.98</v>
      </c>
    </row>
    <row r="6" spans="1:2">
      <c r="A6" t="s">
        <v>25</v>
      </c>
      <c r="B6">
        <v>2732</v>
      </c>
    </row>
    <row r="7" spans="1:2">
      <c r="A7" t="s">
        <v>26</v>
      </c>
      <c r="B7">
        <v>5748</v>
      </c>
    </row>
    <row r="8" spans="1:2">
      <c r="A8" t="s">
        <v>27</v>
      </c>
      <c r="B8">
        <v>3704</v>
      </c>
    </row>
    <row r="9" spans="1:2">
      <c r="A9" t="s">
        <v>30</v>
      </c>
      <c r="B9">
        <v>13055</v>
      </c>
    </row>
    <row r="10" spans="1:2">
      <c r="A10" t="s">
        <v>31</v>
      </c>
      <c r="B10">
        <v>6851.8</v>
      </c>
    </row>
    <row r="11" spans="1:2">
      <c r="A11" t="s">
        <v>32</v>
      </c>
      <c r="B11">
        <v>2439</v>
      </c>
    </row>
    <row r="12" spans="1:2">
      <c r="A12" t="s">
        <v>33</v>
      </c>
      <c r="B12">
        <v>11230</v>
      </c>
    </row>
    <row r="13" spans="1:2">
      <c r="A13" t="s">
        <v>34</v>
      </c>
      <c r="B13">
        <v>6539.605</v>
      </c>
    </row>
    <row r="14" spans="1:2">
      <c r="A14" t="s">
        <v>35</v>
      </c>
      <c r="B14">
        <v>4800.64</v>
      </c>
    </row>
    <row r="15" spans="1:2">
      <c r="A15" t="s">
        <v>36</v>
      </c>
      <c r="B15">
        <v>-210.575</v>
      </c>
    </row>
    <row r="16" spans="1:2">
      <c r="A16" t="s">
        <v>41</v>
      </c>
      <c r="B16">
        <v>0</v>
      </c>
    </row>
    <row r="17" spans="1:2">
      <c r="A17" t="s">
        <v>43</v>
      </c>
      <c r="B17">
        <v>313.5</v>
      </c>
    </row>
    <row r="18" spans="1:2">
      <c r="A18" t="s">
        <v>44</v>
      </c>
      <c r="B18">
        <v>0</v>
      </c>
    </row>
    <row r="19" spans="1:2">
      <c r="A19" t="s">
        <v>45</v>
      </c>
      <c r="B19">
        <v>762.3</v>
      </c>
    </row>
    <row r="20" spans="1:2">
      <c r="A20" t="s">
        <v>46</v>
      </c>
      <c r="B20">
        <v>0</v>
      </c>
    </row>
    <row r="21" spans="1:2">
      <c r="A21" t="s">
        <v>47</v>
      </c>
      <c r="B21">
        <v>1075.5</v>
      </c>
    </row>
    <row r="22" spans="1:2">
      <c r="A22" t="s">
        <v>48</v>
      </c>
      <c r="B22">
        <v>0</v>
      </c>
    </row>
    <row r="23" spans="1:2">
      <c r="A23" t="s">
        <v>49</v>
      </c>
      <c r="B23">
        <v>1345.5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2026-06-25T01:35:43Z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