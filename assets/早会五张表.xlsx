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<sst xmlns="http://schemas.openxmlformats.org/spreadsheetml/2006/main" count="452" uniqueCount="79">
  <si>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</si>
  <si>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</si>
  <si>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</si>
  <si>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</si>
  <si>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</si>
  <si>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</si>
  <si>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</si>
  <si>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</si>
  <si>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</si>
  <si>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</si>
  <si>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</si>
  <si>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</si>
  <si>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</si>
  <si>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</si>
  <si>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</si>
  <si>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</si>
  <si>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</si>
  <si>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</si>
  <si>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</si>
  <si>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</si>
  <si>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</si>
  <si>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</si>
  <si>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</si>
  <si>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</si>
  <si>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</si>
  <si>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</si>
  <si>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</si>
  <si>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</si>
  <si>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</si>
  <si>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</si>
  <si>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</si>
  <si>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</si>
  <si>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</si>
  <si>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</si>
  <si>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</si>
  <si>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</si>
  <si>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客户经理团队合计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</si>
  <si>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</si>
  <si>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</si>
  <si>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</si>
  <si>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</si>
  <si>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</si>
  <si>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</si>
  <si>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</si>
  <si>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</si>
  <si>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</si>
  <si>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</si>
  <si>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</si>
  <si>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</si>
  <si>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</si>
  <si>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</si>
  <si>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</si>
  <si>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</si>
  <si>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高套发展数</t>
  </si>
  <si>
    <t>积分激励</t>
  </si>
  <si>
    <t>协同CP发展的主从网关数</t>
  </si>
  <si>
    <t>智云工程师</t>
  </si>
  <si>
    <t>零樑</t>
  </si>
  <si>
    <t>何而恒</t>
  </si>
  <si>
    <t>魏垚晖</t>
  </si>
  <si>
    <t>吴文懿</t>
  </si>
  <si>
    <t>合计</t>
  </si>
  <si>
    <t>王洪明(挂整体指标)</t>
  </si>
  <si>
    <t>累计商机统计表（所有数据）</t>
  </si>
  <si>
    <t>户数</t>
  </si>
  <si>
    <t>高套累计数</t>
  </si>
  <si>
    <t>积分累计数</t>
  </si>
  <si>
    <t>高套数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</si>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</sst>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4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0"/>
      <color rgb="FF1F1F1F"/>
      <name val="宋体"/>
      <charset val="134"/>
    </font>
    <font>
      <b/>
      <sz val="16"/>
      <color rgb="FFFFFFFF"/>
      <name val="Arial"/>
      <charset val="134"/>
    </font>
    <font>
      <b/>
      <sz val="16"/>
      <color rgb="FFFFFFFF"/>
      <name val="宋体"/>
      <charset val="134"/>
    </font>
    <font>
      <i/>
      <sz val="9"/>
      <color rgb="FFDDEEFF"/>
      <name val="宋体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7" borderId="52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53">
      <alignment vertical="center"/>
    </xf>
    <xf numFmtId="0" fontId="30" fillId="0" borderId="53">
      <alignment vertical="center"/>
    </xf>
    <xf numFmtId="0" fontId="31" fillId="0" borderId="54">
      <alignment vertical="center"/>
    </xf>
    <xf numFmtId="0" fontId="31" fillId="0" borderId="0">
      <alignment vertical="center"/>
    </xf>
    <xf numFmtId="0" fontId="32" fillId="28" borderId="55">
      <alignment vertical="center"/>
    </xf>
    <xf numFmtId="0" fontId="33" fillId="29" borderId="56">
      <alignment vertical="center"/>
    </xf>
    <xf numFmtId="0" fontId="34" fillId="29" borderId="55">
      <alignment vertical="center"/>
    </xf>
    <xf numFmtId="0" fontId="35" fillId="30" borderId="57">
      <alignment vertical="center"/>
    </xf>
    <xf numFmtId="0" fontId="36" fillId="0" borderId="58">
      <alignment vertical="center"/>
    </xf>
    <xf numFmtId="0" fontId="37" fillId="0" borderId="59">
      <alignment vertical="center"/>
    </xf>
    <xf numFmtId="0" fontId="38" fillId="31" borderId="0">
      <alignment vertical="center"/>
    </xf>
    <xf numFmtId="0" fontId="39" fillId="32" borderId="0">
      <alignment vertical="center"/>
    </xf>
    <xf numFmtId="0" fontId="40" fillId="33" borderId="0">
      <alignment vertical="center"/>
    </xf>
    <xf numFmtId="0" fontId="41" fillId="34" borderId="0">
      <alignment vertical="center"/>
    </xf>
    <xf numFmtId="0" fontId="42" fillId="35" borderId="0">
      <alignment vertical="center"/>
    </xf>
    <xf numFmtId="0" fontId="42" fillId="36" borderId="0">
      <alignment vertical="center"/>
    </xf>
    <xf numFmtId="0" fontId="41" fillId="37" borderId="0">
      <alignment vertical="center"/>
    </xf>
    <xf numFmtId="0" fontId="41" fillId="38" borderId="0">
      <alignment vertical="center"/>
    </xf>
    <xf numFmtId="0" fontId="42" fillId="39" borderId="0">
      <alignment vertical="center"/>
    </xf>
    <xf numFmtId="0" fontId="42" fillId="40" borderId="0">
      <alignment vertical="center"/>
    </xf>
    <xf numFmtId="0" fontId="41" fillId="41" borderId="0">
      <alignment vertical="center"/>
    </xf>
    <xf numFmtId="0" fontId="41" fillId="42" borderId="0">
      <alignment vertical="center"/>
    </xf>
    <xf numFmtId="0" fontId="42" fillId="43" borderId="0">
      <alignment vertical="center"/>
    </xf>
    <xf numFmtId="0" fontId="42" fillId="44" borderId="0">
      <alignment vertical="center"/>
    </xf>
    <xf numFmtId="0" fontId="41" fillId="45" borderId="0">
      <alignment vertical="center"/>
    </xf>
    <xf numFmtId="0" fontId="41" fillId="46" borderId="0">
      <alignment vertical="center"/>
    </xf>
    <xf numFmtId="0" fontId="42" fillId="47" borderId="0">
      <alignment vertical="center"/>
    </xf>
    <xf numFmtId="0" fontId="42" fillId="48" borderId="0">
      <alignment vertical="center"/>
    </xf>
    <xf numFmtId="0" fontId="41" fillId="49" borderId="0">
      <alignment vertical="center"/>
    </xf>
    <xf numFmtId="0" fontId="41" fillId="50" borderId="0">
      <alignment vertical="center"/>
    </xf>
    <xf numFmtId="0" fontId="42" fillId="51" borderId="0">
      <alignment vertical="center"/>
    </xf>
    <xf numFmtId="0" fontId="42" fillId="52" borderId="0">
      <alignment vertical="center"/>
    </xf>
    <xf numFmtId="0" fontId="41" fillId="53" borderId="0">
      <alignment vertical="center"/>
    </xf>
    <xf numFmtId="0" fontId="41" fillId="54" borderId="0">
      <alignment vertical="center"/>
    </xf>
    <xf numFmtId="0" fontId="42" fillId="55" borderId="0">
      <alignment vertical="center"/>
    </xf>
    <xf numFmtId="0" fontId="42" fillId="56" borderId="0">
      <alignment vertical="center"/>
    </xf>
    <xf numFmtId="0" fontId="41" fillId="57" borderId="0">
      <alignment vertical="center"/>
    </xf>
  </cellStyleXfs>
  <cellXfs count="118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0" xfId="0" applyAlignment="1"/>
    <xf numFmtId="0" fontId="4" fillId="3" borderId="8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  <xf numFmtId="0" fontId="0" fillId="0" borderId="12" xfId="0" applyBorder="1" applyAlignment="1"/>
    <xf numFmtId="9" fontId="4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center" vertical="center" wrapText="1"/>
    </xf>
    <xf numFmtId="9" fontId="4" fillId="6" borderId="14" xfId="0" applyNumberFormat="1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9" fontId="4" fillId="6" borderId="1" xfId="3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4" fillId="6" borderId="1" xfId="0" applyFont="1" applyFill="1" applyBorder="1" applyAlignment="1">
      <alignment horizontal="center" vertical="center" wrapText="1"/>
    </xf>
    <xf numFmtId="9" fontId="4" fillId="6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76" fontId="7" fillId="0" borderId="17" xfId="0" applyNumberFormat="1" applyFont="1" applyBorder="1" applyAlignment="1">
      <alignment horizontal="center" vertical="center"/>
    </xf>
    <xf numFmtId="0" fontId="0" fillId="0" borderId="18" xfId="0" applyBorder="1" applyAlignment="1"/>
    <xf numFmtId="0" fontId="4" fillId="0" borderId="19" xfId="0" applyFont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/>
    </xf>
    <xf numFmtId="9" fontId="7" fillId="4" borderId="19" xfId="0" applyNumberFormat="1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/>
    </xf>
    <xf numFmtId="176" fontId="4" fillId="0" borderId="19" xfId="0" applyNumberFormat="1" applyFont="1" applyBorder="1" applyAlignment="1">
      <alignment horizontal="center" vertical="center" wrapText="1"/>
    </xf>
    <xf numFmtId="9" fontId="7" fillId="0" borderId="20" xfId="0" applyNumberFormat="1" applyFont="1" applyBorder="1" applyAlignment="1">
      <alignment horizontal="center" vertical="center"/>
    </xf>
    <xf numFmtId="9" fontId="7" fillId="0" borderId="16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6" fontId="4" fillId="0" borderId="21" xfId="0" applyNumberFormat="1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/>
    </xf>
    <xf numFmtId="0" fontId="0" fillId="0" borderId="19" xfId="0" applyBorder="1" applyAlignment="1"/>
    <xf numFmtId="0" fontId="0" fillId="0" borderId="20" xfId="0" applyBorder="1" applyAlignment="1"/>
    <xf numFmtId="0" fontId="0" fillId="0" borderId="21" xfId="0" applyBorder="1" applyAlignment="1"/>
    <xf numFmtId="0" fontId="4" fillId="4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1" fillId="9" borderId="25" xfId="0" applyFont="1" applyFill="1" applyBorder="1" applyAlignment="1">
      <alignment horizontal="center" vertical="center" wrapText="1"/>
    </xf>
    <xf numFmtId="0" fontId="3" fillId="10" borderId="26" xfId="0" applyFont="1" applyFill="1" applyBorder="1" applyAlignment="1">
      <alignment horizontal="center" vertical="center"/>
    </xf>
    <xf numFmtId="0" fontId="12" fillId="10" borderId="26" xfId="0" applyFont="1" applyFill="1" applyBorder="1" applyAlignment="1">
      <alignment horizontal="center" vertical="center" wrapText="1"/>
    </xf>
    <xf numFmtId="0" fontId="13" fillId="11" borderId="25" xfId="0" applyFont="1" applyFill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/>
    </xf>
    <xf numFmtId="0" fontId="14" fillId="12" borderId="25" xfId="0" applyFont="1" applyFill="1" applyBorder="1" applyAlignment="1">
      <alignment horizontal="center" vertical="center"/>
    </xf>
    <xf numFmtId="0" fontId="15" fillId="13" borderId="27" xfId="0" applyFont="1" applyFill="1" applyBorder="1" applyAlignment="1">
      <alignment horizontal="center" vertical="center" wrapText="1"/>
    </xf>
    <xf numFmtId="0" fontId="16" fillId="14" borderId="28" xfId="0" applyFont="1" applyFill="1" applyBorder="1" applyAlignment="1">
      <alignment horizontal="center" vertical="center"/>
    </xf>
    <xf numFmtId="9" fontId="16" fillId="14" borderId="28" xfId="0" applyNumberFormat="1" applyFont="1" applyFill="1" applyBorder="1" applyAlignment="1">
      <alignment horizontal="center" vertical="center"/>
    </xf>
    <xf numFmtId="0" fontId="0" fillId="0" borderId="29" xfId="0" applyBorder="1" applyAlignment="1"/>
    <xf numFmtId="0" fontId="4" fillId="15" borderId="25" xfId="0" applyFont="1" applyFill="1" applyBorder="1" applyAlignment="1">
      <alignment horizontal="center" vertical="center"/>
    </xf>
    <xf numFmtId="0" fontId="14" fillId="15" borderId="25" xfId="0" applyFont="1" applyFill="1" applyBorder="1" applyAlignment="1">
      <alignment horizontal="center" vertical="center"/>
    </xf>
    <xf numFmtId="0" fontId="0" fillId="0" borderId="30" xfId="0" applyBorder="1" applyAlignment="1"/>
    <xf numFmtId="0" fontId="17" fillId="14" borderId="28" xfId="0" applyFont="1" applyFill="1" applyBorder="1" applyAlignment="1">
      <alignment horizontal="center" vertical="center"/>
    </xf>
    <xf numFmtId="0" fontId="15" fillId="16" borderId="13" xfId="0" applyFont="1" applyFill="1" applyBorder="1" applyAlignment="1">
      <alignment horizontal="center" vertical="center" wrapText="1"/>
    </xf>
    <xf numFmtId="0" fontId="16" fillId="17" borderId="31" xfId="0" applyFont="1" applyFill="1" applyBorder="1" applyAlignment="1">
      <alignment horizontal="center" vertical="center"/>
    </xf>
    <xf numFmtId="0" fontId="16" fillId="17" borderId="28" xfId="0" applyFont="1" applyFill="1" applyBorder="1" applyAlignment="1">
      <alignment horizontal="center" vertical="center"/>
    </xf>
    <xf numFmtId="9" fontId="16" fillId="17" borderId="28" xfId="0" applyNumberFormat="1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11" fillId="9" borderId="25" xfId="0" applyFont="1" applyFill="1" applyBorder="1" applyAlignment="1">
      <alignment horizontal="center" vertical="center"/>
    </xf>
    <xf numFmtId="0" fontId="0" fillId="0" borderId="34" xfId="0" applyBorder="1" applyAlignment="1"/>
    <xf numFmtId="0" fontId="0" fillId="0" borderId="35" xfId="0" applyBorder="1" applyAlignment="1"/>
    <xf numFmtId="0" fontId="17" fillId="17" borderId="31" xfId="0" applyFont="1" applyFill="1" applyBorder="1" applyAlignment="1">
      <alignment horizontal="left" vertical="center"/>
    </xf>
    <xf numFmtId="0" fontId="18" fillId="18" borderId="36" xfId="0" applyFont="1" applyFill="1" applyBorder="1" applyAlignment="1">
      <alignment horizontal="center" vertical="center"/>
    </xf>
    <xf numFmtId="0" fontId="0" fillId="0" borderId="37" xfId="0" applyBorder="1" applyAlignment="1"/>
    <xf numFmtId="0" fontId="0" fillId="0" borderId="38" xfId="0" applyBorder="1" applyAlignment="1"/>
    <xf numFmtId="0" fontId="19" fillId="18" borderId="39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 wrapText="1"/>
    </xf>
    <xf numFmtId="0" fontId="0" fillId="0" borderId="41" xfId="0" applyBorder="1" applyAlignment="1"/>
    <xf numFmtId="0" fontId="0" fillId="0" borderId="42" xfId="0" applyBorder="1" applyAlignment="1"/>
    <xf numFmtId="0" fontId="20" fillId="19" borderId="39" xfId="0" applyFont="1" applyFill="1" applyBorder="1" applyAlignment="1">
      <alignment horizontal="center" vertical="center" wrapText="1"/>
    </xf>
    <xf numFmtId="0" fontId="3" fillId="2" borderId="43" xfId="0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21" fillId="20" borderId="46" xfId="0" applyFont="1" applyFill="1" applyBorder="1" applyAlignment="1">
      <alignment horizontal="center" vertical="center"/>
    </xf>
    <xf numFmtId="0" fontId="22" fillId="21" borderId="47" xfId="0" applyFont="1" applyFill="1" applyBorder="1" applyAlignment="1">
      <alignment horizontal="center" vertical="center"/>
    </xf>
    <xf numFmtId="0" fontId="22" fillId="21" borderId="48" xfId="0" applyFont="1" applyFill="1" applyBorder="1" applyAlignment="1">
      <alignment horizontal="center" vertical="center"/>
    </xf>
    <xf numFmtId="0" fontId="21" fillId="22" borderId="46" xfId="0" applyFont="1" applyFill="1" applyBorder="1" applyAlignment="1">
      <alignment horizontal="center" vertical="center"/>
    </xf>
    <xf numFmtId="0" fontId="22" fillId="23" borderId="47" xfId="0" applyFont="1" applyFill="1" applyBorder="1" applyAlignment="1">
      <alignment horizontal="center" vertical="center"/>
    </xf>
    <xf numFmtId="0" fontId="22" fillId="23" borderId="48" xfId="0" applyFont="1" applyFill="1" applyBorder="1" applyAlignment="1">
      <alignment horizontal="center" vertical="center"/>
    </xf>
    <xf numFmtId="0" fontId="21" fillId="24" borderId="46" xfId="0" applyFont="1" applyFill="1" applyBorder="1" applyAlignment="1">
      <alignment horizontal="center" vertical="center"/>
    </xf>
    <xf numFmtId="0" fontId="22" fillId="25" borderId="47" xfId="0" applyFont="1" applyFill="1" applyBorder="1" applyAlignment="1">
      <alignment horizontal="center" vertical="center"/>
    </xf>
    <xf numFmtId="0" fontId="22" fillId="25" borderId="48" xfId="0" applyFont="1" applyFill="1" applyBorder="1" applyAlignment="1">
      <alignment horizontal="center" vertical="center"/>
    </xf>
    <xf numFmtId="0" fontId="22" fillId="15" borderId="46" xfId="0" applyFont="1" applyFill="1" applyBorder="1" applyAlignment="1">
      <alignment horizontal="center" vertical="center"/>
    </xf>
    <xf numFmtId="0" fontId="22" fillId="15" borderId="47" xfId="0" applyFont="1" applyFill="1" applyBorder="1" applyAlignment="1">
      <alignment horizontal="center" vertical="center"/>
    </xf>
    <xf numFmtId="0" fontId="22" fillId="15" borderId="48" xfId="0" applyFont="1" applyFill="1" applyBorder="1" applyAlignment="1">
      <alignment horizontal="center" vertical="center"/>
    </xf>
    <xf numFmtId="0" fontId="22" fillId="26" borderId="46" xfId="0" applyFont="1" applyFill="1" applyBorder="1" applyAlignment="1">
      <alignment horizontal="center" vertical="center"/>
    </xf>
    <xf numFmtId="0" fontId="22" fillId="26" borderId="47" xfId="0" applyFont="1" applyFill="1" applyBorder="1" applyAlignment="1">
      <alignment horizontal="center" vertical="center"/>
    </xf>
    <xf numFmtId="0" fontId="22" fillId="26" borderId="48" xfId="0" applyFont="1" applyFill="1" applyBorder="1" applyAlignment="1">
      <alignment horizontal="center" vertical="center"/>
    </xf>
    <xf numFmtId="0" fontId="22" fillId="15" borderId="49" xfId="0" applyFont="1" applyFill="1" applyBorder="1" applyAlignment="1">
      <alignment horizontal="center" vertical="center"/>
    </xf>
    <xf numFmtId="0" fontId="22" fillId="15" borderId="50" xfId="0" applyFont="1" applyFill="1" applyBorder="1" applyAlignment="1">
      <alignment horizontal="center" vertical="center"/>
    </xf>
    <xf numFmtId="0" fontId="22" fillId="15" borderId="51" xfId="0" applyFont="1" applyFill="1" applyBorder="1" applyAlignment="1">
      <alignment horizontal="center" vertical="center"/>
    </xf>
    <xf numFmtId="0" fontId="23" fillId="13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1617" displayName="表5_111617" ref="A51:D65" totalsRowShown="0">
  <sortState ref="A51:D65">
    <sortCondition ref="C51:C65" descending="1"/>
  </sortState>
  <tableColumns count="4">
    <tableColumn id="1" name="客户经理" dataDxfId="0">
      <calculatedColumnFormula>商机统计!A2</calculatedColumnFormula>
    </tableColumn>
    <tableColumn id="2" name="户数" dataDxfId="1">
      <calculatedColumnFormula>商机统计!B2</calculatedColumnFormula>
    </tableColumn>
    <tableColumn id="3" name="高套累计数" dataDxfId="2">
      <calculatedColumnFormula>商机统计!C2</calculatedColumnFormula>
    </tableColumn>
    <tableColumn id="4" name="积分累计数" dataDxfId="3">
      <calculatedColumnFormula>商机统计!D2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" displayName="表5_11" ref="G51:H65" totalsRowShown="0">
  <sortState ref="G51:H65">
    <sortCondition ref="H51:H65" descending="1"/>
  </sortState>
  <tableColumns count="2">
    <tableColumn id="1" name="客户经理" dataDxfId="4">
      <calculatedColumnFormula>商机统计!F2</calculatedColumnFormula>
    </tableColumn>
    <tableColumn id="2" name="户数" dataDxfId="5">
      <calculatedColumnFormula>商机统计!G2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7"/>
    <tableColumn id="2" name="户数" dataDxfId="8"/>
    <tableColumn id="3" name="高套累计数" dataDxfId="9"/>
    <tableColumn id="4" name="积分累计数" dataDxfId="1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11"/>
    <tableColumn id="2" name="户数" dataDxfId="12"/>
    <tableColumn id="3" name="高套累计数" dataDxfId="13"/>
    <tableColumn id="4" name="积分累计数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4"/>
  <sheetViews>
    <sheetView tabSelected="1" workbookViewId="0">
      <selection activeCell="E38" sqref="E38"/>
    </sheetView>
  </sheetViews>
  <sheetFormatPr defaultColWidth="10.6363636363636" defaultRowHeight="14"/>
  <cols>
    <col min="4" max="4" width="9.25454545454545" style="11" customWidth="1"/>
    <col min="5" max="5" width="9.90909090909091" style="11" customWidth="1"/>
    <col min="6" max="7" width="9.25454545454545" style="11" customWidth="1"/>
    <col min="9" max="9" width="9.25454545454545" style="11" customWidth="1"/>
    <col min="10" max="10" width="10.9" style="11" customWidth="1"/>
    <col min="14" max="14" width="9.90909090909091" style="11" customWidth="1"/>
  </cols>
  <sheetData>
    <row r="1" ht="14.25" customHeight="1" spans="1:23">
      <c r="A1" s="12" t="s">
        <v>0</v>
      </c>
      <c r="B1" s="13" t="str">
        <f ca="1">"完美一单积分完成通报（截至"&amp;MONTH(TODAY()-1)&amp;"月"&amp;DAY(TODAY()-1)&amp;"日）"</f>
        <v>完美一单积分完成通报（截至5月7日）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5"/>
    </row>
    <row r="2" ht="16.5" customHeight="1" spans="1:23">
      <c r="A2" s="16"/>
      <c r="B2" s="13" t="s">
        <v>1</v>
      </c>
      <c r="C2" s="14"/>
      <c r="D2" s="14"/>
      <c r="E2" s="14"/>
      <c r="F2" s="14"/>
      <c r="G2" s="14"/>
      <c r="H2" s="15"/>
      <c r="I2" s="13" t="s">
        <v>2</v>
      </c>
      <c r="J2" s="14"/>
      <c r="K2" s="14"/>
      <c r="L2" s="14"/>
      <c r="M2" s="14"/>
      <c r="N2" s="15"/>
      <c r="O2" s="13" t="s">
        <v>3</v>
      </c>
      <c r="P2" s="14"/>
      <c r="Q2" s="15"/>
    </row>
    <row r="3" ht="70" customHeight="1" spans="1:23">
      <c r="A3" s="17"/>
      <c r="B3" s="13" t="s">
        <v>4</v>
      </c>
      <c r="C3" s="13" t="s">
        <v>5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8</v>
      </c>
      <c r="M3" s="13" t="s">
        <v>14</v>
      </c>
      <c r="N3" s="13" t="s">
        <v>15</v>
      </c>
      <c r="O3" s="13" t="s">
        <v>16</v>
      </c>
      <c r="P3" s="13" t="s">
        <v>17</v>
      </c>
      <c r="Q3" s="18" t="s">
        <v>18</v>
      </c>
    </row>
    <row r="4" ht="14.25" customHeight="1" spans="1:23">
      <c r="A4" s="12" t="s">
        <v>19</v>
      </c>
      <c r="B4" s="19" t="s">
        <v>20</v>
      </c>
      <c r="C4" s="19">
        <v>8.8</v>
      </c>
      <c r="D4" s="20">
        <f>_xlfn.XLOOKUP(B4,高套!A:A,高套!B:B,0)</f>
        <v>0</v>
      </c>
      <c r="E4" s="21">
        <f t="shared" ref="E4:E20" si="0">D4/C4</f>
        <v>0</v>
      </c>
      <c r="F4" s="22">
        <f ca="1">D4/(C4/W5*T$5)</f>
        <v>0</v>
      </c>
      <c r="G4" s="19">
        <f>_xlfn.XLOOKUP(B4,红黄牌高套!A:A,红黄牌高套!B:B,0)</f>
        <v>0</v>
      </c>
      <c r="H4" s="23" t="str">
        <f t="shared" ref="H4:H10" si="1">IF(G4&gt;=3,"否","是")</f>
        <v>是</v>
      </c>
      <c r="I4" s="19">
        <v>2500</v>
      </c>
      <c r="J4" s="19">
        <f ca="1">VLOOKUP(B:B,完美一单!A:C,3,0)</f>
        <v>0</v>
      </c>
      <c r="K4" s="22">
        <f ca="1" t="shared" ref="K4:K20" si="2">J4/I4</f>
        <v>0</v>
      </c>
      <c r="L4" s="22">
        <f ca="1">J4/(I4/W5*T$5)</f>
        <v>0</v>
      </c>
      <c r="M4" s="24">
        <f ca="1" t="shared" ref="M4:M10" si="3">VLOOKUP(B:B,U:W,3,0)</f>
        <v>11</v>
      </c>
      <c r="N4" s="24">
        <f ca="1">VLOOKUP(B:B,激励!A:B,2,0)</f>
        <v>0</v>
      </c>
      <c r="O4" s="20">
        <v>21</v>
      </c>
      <c r="P4" s="25">
        <f>_xlfn.XLOOKUP(B4,全光组网!A:A,全光组网!B:B,0)</f>
        <v>0</v>
      </c>
      <c r="Q4" s="26">
        <f t="shared" ref="Q4:Q19" si="4">P4/O4</f>
        <v>0</v>
      </c>
    </row>
    <row r="5" ht="16.5" customHeight="1" spans="1:23">
      <c r="A5" s="16"/>
      <c r="B5" s="19" t="s">
        <v>21</v>
      </c>
      <c r="C5" s="19">
        <v>8.8</v>
      </c>
      <c r="D5" s="20">
        <f>_xlfn.XLOOKUP(B5,高套!A:A,高套!B:B,0)</f>
        <v>0</v>
      </c>
      <c r="E5" s="21">
        <f t="shared" si="0"/>
        <v>0</v>
      </c>
      <c r="F5" s="22">
        <f ca="1">D5/(C5/W5*T$5)</f>
        <v>0</v>
      </c>
      <c r="G5" s="19">
        <f>_xlfn.XLOOKUP(B5,红黄牌高套!A:A,红黄牌高套!B:B,0)</f>
        <v>1.5</v>
      </c>
      <c r="H5" s="27" t="str">
        <f t="shared" si="1"/>
        <v>是</v>
      </c>
      <c r="I5" s="19">
        <v>2500</v>
      </c>
      <c r="J5" s="19">
        <f ca="1">VLOOKUP(B:B,完美一单!A:C,3,0)</f>
        <v>81.93</v>
      </c>
      <c r="K5" s="22">
        <f ca="1" t="shared" si="2"/>
        <v>0.032772</v>
      </c>
      <c r="L5" s="22">
        <f ca="1">J5/(I5/W5*T$5)</f>
        <v>0.145133142857143</v>
      </c>
      <c r="M5" s="24">
        <f ca="1" t="shared" si="3"/>
        <v>9</v>
      </c>
      <c r="N5" s="24">
        <f ca="1">VLOOKUP(B:B,激励!A:B,2,0)</f>
        <v>122.895</v>
      </c>
      <c r="O5" s="20">
        <v>21</v>
      </c>
      <c r="P5" s="25">
        <f>_xlfn.XLOOKUP(B5,全光组网!A:A,全光组网!B:B,0)</f>
        <v>0</v>
      </c>
      <c r="Q5" s="26">
        <f t="shared" si="4"/>
        <v>0</v>
      </c>
      <c r="S5" s="28" t="str">
        <f ca="1">MONTH(TODAY()-1)&amp;"月"</f>
        <v>5月</v>
      </c>
      <c r="T5" s="28">
        <f ca="1">DAY(TODAY()-1)</f>
        <v>7</v>
      </c>
      <c r="U5" s="28"/>
      <c r="V5" s="29"/>
      <c r="W5">
        <f ca="1">DAY(EOMONTH(TODAY(),0))</f>
        <v>31</v>
      </c>
    </row>
    <row r="6" ht="16.5" customHeight="1" spans="1:23">
      <c r="A6" s="16"/>
      <c r="B6" s="19" t="s">
        <v>22</v>
      </c>
      <c r="C6" s="19">
        <v>8.8</v>
      </c>
      <c r="D6" s="20">
        <f>_xlfn.XLOOKUP(B6,高套!A:A,高套!B:B,0)</f>
        <v>0</v>
      </c>
      <c r="E6" s="21">
        <f t="shared" si="0"/>
        <v>0</v>
      </c>
      <c r="F6" s="22">
        <f ca="1">D6/(C6/W5*T$5)</f>
        <v>0</v>
      </c>
      <c r="G6" s="19">
        <f>_xlfn.XLOOKUP(B6,红黄牌高套!A:A,红黄牌高套!B:B,0)</f>
        <v>2</v>
      </c>
      <c r="H6" s="27" t="str">
        <f t="shared" si="1"/>
        <v>是</v>
      </c>
      <c r="I6" s="19">
        <v>2500</v>
      </c>
      <c r="J6" s="19">
        <f ca="1">VLOOKUP(B:B,完美一单!A:C,3,0)</f>
        <v>282</v>
      </c>
      <c r="K6" s="22">
        <f ca="1" t="shared" si="2"/>
        <v>0.1128</v>
      </c>
      <c r="L6" s="22">
        <f ca="1">J6/(I6/W5*T$5)</f>
        <v>0.499542857142857</v>
      </c>
      <c r="M6" s="24">
        <f ca="1" t="shared" si="3"/>
        <v>7</v>
      </c>
      <c r="N6" s="24">
        <f ca="1">VLOOKUP(B:B,激励!A:B,2,0)</f>
        <v>366</v>
      </c>
      <c r="O6" s="20">
        <v>21</v>
      </c>
      <c r="P6" s="25">
        <f>_xlfn.XLOOKUP(B6,全光组网!A:A,全光组网!B:B,0)</f>
        <v>0</v>
      </c>
      <c r="Q6" s="26">
        <f t="shared" si="4"/>
        <v>0</v>
      </c>
    </row>
    <row r="7" ht="16.5" customHeight="1" spans="1:23">
      <c r="A7" s="16"/>
      <c r="B7" s="19" t="s">
        <v>23</v>
      </c>
      <c r="C7" s="19">
        <v>8.8</v>
      </c>
      <c r="D7" s="20">
        <f>_xlfn.XLOOKUP(B7,高套!A:A,高套!B:B,0)</f>
        <v>0</v>
      </c>
      <c r="E7" s="21">
        <f t="shared" si="0"/>
        <v>0</v>
      </c>
      <c r="F7" s="22">
        <f ca="1">D7/(C7/W5*T$5)</f>
        <v>0</v>
      </c>
      <c r="G7" s="19">
        <f>_xlfn.XLOOKUP(B7,红黄牌高套!A:A,红黄牌高套!B:B,0)</f>
        <v>0</v>
      </c>
      <c r="H7" s="27" t="str">
        <f t="shared" si="1"/>
        <v>是</v>
      </c>
      <c r="I7" s="19">
        <v>2500</v>
      </c>
      <c r="J7" s="19">
        <f ca="1">VLOOKUP(B:B,完美一单!A:C,3,0)</f>
        <v>-1</v>
      </c>
      <c r="K7" s="22">
        <f ca="1" t="shared" si="2"/>
        <v>-0.0004</v>
      </c>
      <c r="L7" s="22">
        <f ca="1">J7/(I7/W5*T$5)</f>
        <v>-0.00177142857142857</v>
      </c>
      <c r="M7" s="24">
        <f ca="1" t="shared" si="3"/>
        <v>13</v>
      </c>
      <c r="N7" s="24">
        <f ca="1">VLOOKUP(B:B,激励!A:B,2,0)</f>
        <v>-1.5</v>
      </c>
      <c r="O7" s="20">
        <v>21</v>
      </c>
      <c r="P7" s="25">
        <f>_xlfn.XLOOKUP(B7,全光组网!A:A,全光组网!B:B,0)</f>
        <v>0</v>
      </c>
      <c r="Q7" s="26">
        <f t="shared" si="4"/>
        <v>0</v>
      </c>
    </row>
    <row r="8" ht="16.5" customHeight="1" spans="1:23">
      <c r="A8" s="16"/>
      <c r="B8" s="19" t="s">
        <v>24</v>
      </c>
      <c r="C8" s="19">
        <v>8.8</v>
      </c>
      <c r="D8" s="20">
        <f>_xlfn.XLOOKUP(B8,高套!A:A,高套!B:B,0)</f>
        <v>1</v>
      </c>
      <c r="E8" s="21">
        <f t="shared" si="0"/>
        <v>0.113636363636364</v>
      </c>
      <c r="F8" s="22">
        <f ca="1">D8/(C8/W5*T$5)</f>
        <v>0.503246753246753</v>
      </c>
      <c r="G8" s="19">
        <f>_xlfn.XLOOKUP(B8,红黄牌高套!A:A,红黄牌高套!B:B,0)</f>
        <v>1</v>
      </c>
      <c r="H8" s="27" t="str">
        <f t="shared" si="1"/>
        <v>是</v>
      </c>
      <c r="I8" s="19">
        <v>2500</v>
      </c>
      <c r="J8" s="19">
        <f ca="1">VLOOKUP(B:B,完美一单!A:C,3,0)</f>
        <v>479</v>
      </c>
      <c r="K8" s="22">
        <f ca="1" t="shared" si="2"/>
        <v>0.1916</v>
      </c>
      <c r="L8" s="22">
        <f ca="1">J8/(I8/W5*T$5)</f>
        <v>0.848514285714286</v>
      </c>
      <c r="M8" s="24">
        <f ca="1" t="shared" si="3"/>
        <v>6</v>
      </c>
      <c r="N8" s="24">
        <f ca="1">VLOOKUP(B:B,激励!A:B,2,0)</f>
        <v>698.5</v>
      </c>
      <c r="O8" s="20">
        <v>21</v>
      </c>
      <c r="P8" s="25">
        <f>_xlfn.XLOOKUP(B8,全光组网!A:A,全光组网!B:B,0)</f>
        <v>0</v>
      </c>
      <c r="Q8" s="26">
        <f t="shared" si="4"/>
        <v>0</v>
      </c>
    </row>
    <row r="9" ht="16.5" customHeight="1" spans="1:23">
      <c r="A9" s="16"/>
      <c r="B9" s="19" t="s">
        <v>25</v>
      </c>
      <c r="C9" s="19">
        <v>8.8</v>
      </c>
      <c r="D9" s="20">
        <f>_xlfn.XLOOKUP(B9,高套!A:A,高套!B:B,0)</f>
        <v>0</v>
      </c>
      <c r="E9" s="21">
        <f t="shared" si="0"/>
        <v>0</v>
      </c>
      <c r="F9" s="22">
        <f ca="1">D9/(C9/W5*T$5)</f>
        <v>0</v>
      </c>
      <c r="G9" s="19">
        <f>_xlfn.XLOOKUP(B9,红黄牌高套!A:A,红黄牌高套!B:B,0)</f>
        <v>5</v>
      </c>
      <c r="H9" s="27" t="str">
        <f t="shared" si="1"/>
        <v>否</v>
      </c>
      <c r="I9" s="19">
        <v>2500</v>
      </c>
      <c r="J9" s="19">
        <f ca="1">VLOOKUP(B:B,完美一单!A:C,3,0)</f>
        <v>1010</v>
      </c>
      <c r="K9" s="22">
        <f ca="1" t="shared" si="2"/>
        <v>0.404</v>
      </c>
      <c r="L9" s="22">
        <f ca="1">J9/(I9/W5*T$5)</f>
        <v>1.78914285714286</v>
      </c>
      <c r="M9" s="24">
        <f ca="1" t="shared" si="3"/>
        <v>2</v>
      </c>
      <c r="N9" s="24">
        <f ca="1">VLOOKUP(B:B,激励!A:B,2,0)</f>
        <v>3015</v>
      </c>
      <c r="O9" s="20">
        <v>21</v>
      </c>
      <c r="P9" s="25">
        <f>_xlfn.XLOOKUP(B9,全光组网!A:A,全光组网!B:B,0)</f>
        <v>0</v>
      </c>
      <c r="Q9" s="26">
        <f t="shared" si="4"/>
        <v>0</v>
      </c>
      <c r="U9" s="30" t="s">
        <v>20</v>
      </c>
      <c r="V9">
        <f ca="1" t="shared" ref="V9:V22" si="5">VLOOKUP(U:U,B:J,9,0)</f>
        <v>0</v>
      </c>
      <c r="W9">
        <f ca="1" t="shared" ref="W9:W22" si="6">RANK(V9,V$9:V$22,0)</f>
        <v>11</v>
      </c>
    </row>
    <row r="10" ht="16.5" customHeight="1" spans="1:23">
      <c r="A10" s="16"/>
      <c r="B10" s="19" t="s">
        <v>26</v>
      </c>
      <c r="C10" s="19">
        <v>8.8</v>
      </c>
      <c r="D10" s="20">
        <f>_xlfn.XLOOKUP(B10,高套!A:A,高套!B:B,0)</f>
        <v>0</v>
      </c>
      <c r="E10" s="21">
        <f t="shared" si="0"/>
        <v>0</v>
      </c>
      <c r="F10" s="22">
        <f ca="1">D10/(C10/W5*T$5)</f>
        <v>0</v>
      </c>
      <c r="G10" s="19">
        <f>_xlfn.XLOOKUP(B10,红黄牌高套!A:A,红黄牌高套!B:B,0)</f>
        <v>0.5</v>
      </c>
      <c r="H10" s="27" t="str">
        <f t="shared" si="1"/>
        <v>是</v>
      </c>
      <c r="I10" s="19">
        <v>2500</v>
      </c>
      <c r="J10" s="19">
        <f ca="1">VLOOKUP(B:B,完美一单!A:C,3,0)</f>
        <v>49</v>
      </c>
      <c r="K10" s="22">
        <f ca="1" t="shared" si="2"/>
        <v>0.0196</v>
      </c>
      <c r="L10" s="22">
        <f ca="1">J10/(I10/W5*T$5)</f>
        <v>0.0868</v>
      </c>
      <c r="M10" s="24">
        <f ca="1" t="shared" si="3"/>
        <v>10</v>
      </c>
      <c r="N10" s="24">
        <f ca="1">VLOOKUP(B:B,激励!A:B,2,0)</f>
        <v>173.5</v>
      </c>
      <c r="O10" s="20">
        <v>21</v>
      </c>
      <c r="P10" s="25">
        <f>_xlfn.XLOOKUP(B10,全光组网!A:A,全光组网!B:B,0)</f>
        <v>0</v>
      </c>
      <c r="Q10" s="26">
        <f t="shared" si="4"/>
        <v>0</v>
      </c>
      <c r="U10" s="30" t="s">
        <v>21</v>
      </c>
      <c r="V10">
        <f ca="1" t="shared" si="5"/>
        <v>81.93</v>
      </c>
      <c r="W10">
        <f ca="1" t="shared" si="6"/>
        <v>9</v>
      </c>
    </row>
    <row r="11" ht="16.5" customHeight="1" spans="1:23">
      <c r="A11" s="17"/>
      <c r="B11" s="31" t="s">
        <v>27</v>
      </c>
      <c r="C11" s="31">
        <f>SUM(C4:C10)</f>
        <v>61.6</v>
      </c>
      <c r="D11" s="31">
        <f>SUM(D4:D10)</f>
        <v>1</v>
      </c>
      <c r="E11" s="32">
        <f t="shared" si="0"/>
        <v>0.0162337662337662</v>
      </c>
      <c r="F11" s="32">
        <f ca="1">D11/(C11/W5*T$5)</f>
        <v>0.0718923933209648</v>
      </c>
      <c r="G11" s="31">
        <f>SUM(G4:G10)</f>
        <v>10</v>
      </c>
      <c r="H11" s="32"/>
      <c r="I11" s="33">
        <f>SUM(I4:I10)</f>
        <v>17500</v>
      </c>
      <c r="J11" s="31">
        <f ca="1">SUM(J4:J10)</f>
        <v>1900.93</v>
      </c>
      <c r="K11" s="32">
        <f ca="1" t="shared" si="2"/>
        <v>0.108624571428571</v>
      </c>
      <c r="L11" s="32">
        <f ca="1">J11/(I11/W5*T$5)</f>
        <v>0.481051673469388</v>
      </c>
      <c r="M11" s="31"/>
      <c r="N11" s="33"/>
      <c r="O11" s="31">
        <f>SUM(O4:O10)</f>
        <v>147</v>
      </c>
      <c r="P11" s="31">
        <f>SUM(P4:P10)</f>
        <v>0</v>
      </c>
      <c r="Q11" s="34">
        <f t="shared" si="4"/>
        <v>0</v>
      </c>
      <c r="U11" s="30" t="s">
        <v>22</v>
      </c>
      <c r="V11">
        <f ca="1" t="shared" si="5"/>
        <v>282</v>
      </c>
      <c r="W11">
        <f ca="1" t="shared" si="6"/>
        <v>7</v>
      </c>
    </row>
    <row r="12" ht="14.25" customHeight="1" spans="1:23">
      <c r="A12" s="13" t="s">
        <v>28</v>
      </c>
      <c r="B12" s="19" t="s">
        <v>29</v>
      </c>
      <c r="C12" s="19">
        <v>8.8</v>
      </c>
      <c r="D12" s="20">
        <f>_xlfn.XLOOKUP(B12,高套!A:A,高套!B:B,0)</f>
        <v>0</v>
      </c>
      <c r="E12" s="21">
        <f t="shared" si="0"/>
        <v>0</v>
      </c>
      <c r="F12" s="22">
        <f ca="1">D12/(C12/W5*T$5)</f>
        <v>0</v>
      </c>
      <c r="G12" s="19">
        <f>_xlfn.XLOOKUP(B12,红黄牌高套!A:A,红黄牌高套!B:B,0)</f>
        <v>0</v>
      </c>
      <c r="H12" s="27" t="str">
        <f t="shared" ref="H12:H18" si="7">IF(G12&gt;=3,"否","是")</f>
        <v>是</v>
      </c>
      <c r="I12" s="19">
        <v>2500</v>
      </c>
      <c r="J12" s="19">
        <f ca="1">VLOOKUP(B:B,完美一单!A:C,3,0)</f>
        <v>0</v>
      </c>
      <c r="K12" s="22">
        <f ca="1" t="shared" si="2"/>
        <v>0</v>
      </c>
      <c r="L12" s="22">
        <f ca="1">J12/(I12/W5*T$5)</f>
        <v>0</v>
      </c>
      <c r="M12" s="24">
        <f ca="1" t="shared" ref="M12:M18" si="8">VLOOKUP(B:B,U:W,3,0)</f>
        <v>11</v>
      </c>
      <c r="N12" s="24">
        <f ca="1">VLOOKUP(_xlfn.SINGLE(B:B),激励!A:B,2,0)</f>
        <v>0</v>
      </c>
      <c r="O12" s="20">
        <v>21</v>
      </c>
      <c r="P12" s="25">
        <f>_xlfn.XLOOKUP(B12,全光组网!A:A,全光组网!B:B,0)</f>
        <v>0</v>
      </c>
      <c r="Q12" s="26">
        <f t="shared" si="4"/>
        <v>0</v>
      </c>
      <c r="U12" s="30" t="s">
        <v>23</v>
      </c>
      <c r="V12">
        <f ca="1" t="shared" si="5"/>
        <v>-1</v>
      </c>
      <c r="W12">
        <f ca="1" t="shared" si="6"/>
        <v>13</v>
      </c>
    </row>
    <row r="13" ht="16.5" customHeight="1" spans="1:23">
      <c r="A13" s="35"/>
      <c r="B13" s="19" t="s">
        <v>30</v>
      </c>
      <c r="C13" s="19">
        <v>8.8</v>
      </c>
      <c r="D13" s="20">
        <f>_xlfn.XLOOKUP(B13,高套!A:A,高套!B:B,0)</f>
        <v>4.73</v>
      </c>
      <c r="E13" s="21">
        <f t="shared" si="0"/>
        <v>0.5375</v>
      </c>
      <c r="F13" s="22">
        <f ca="1">D13/(C13/W5*T$5)</f>
        <v>2.38035714285714</v>
      </c>
      <c r="G13" s="19">
        <f>_xlfn.XLOOKUP(B13,红黄牌高套!A:A,红黄牌高套!B:B,0)</f>
        <v>4.73</v>
      </c>
      <c r="H13" s="27" t="str">
        <f t="shared" si="7"/>
        <v>否</v>
      </c>
      <c r="I13" s="19">
        <v>2500</v>
      </c>
      <c r="J13" s="19">
        <f ca="1">VLOOKUP(B:B,完美一单!A:C,3,0)</f>
        <v>806.2</v>
      </c>
      <c r="K13" s="22">
        <f ca="1" t="shared" si="2"/>
        <v>0.32248</v>
      </c>
      <c r="L13" s="22">
        <f ca="1">J13/(I13/W5*T$5)</f>
        <v>1.42812571428571</v>
      </c>
      <c r="M13" s="24">
        <f ca="1" t="shared" si="8"/>
        <v>3</v>
      </c>
      <c r="N13" s="24">
        <f ca="1">VLOOKUP(_xlfn.SINGLE(B:B),激励!A:B,2,0)</f>
        <v>1189.3</v>
      </c>
      <c r="O13" s="20">
        <v>21</v>
      </c>
      <c r="P13" s="25">
        <f>_xlfn.XLOOKUP(B13,全光组网!A:A,全光组网!B:B,0)</f>
        <v>0</v>
      </c>
      <c r="Q13" s="26">
        <f t="shared" si="4"/>
        <v>0</v>
      </c>
      <c r="U13" s="30" t="s">
        <v>24</v>
      </c>
      <c r="V13">
        <f ca="1" t="shared" si="5"/>
        <v>479</v>
      </c>
      <c r="W13">
        <f ca="1" t="shared" si="6"/>
        <v>6</v>
      </c>
    </row>
    <row r="14" ht="16.5" customHeight="1" spans="1:23">
      <c r="A14" s="35"/>
      <c r="B14" s="19" t="s">
        <v>31</v>
      </c>
      <c r="C14" s="19">
        <v>8.8</v>
      </c>
      <c r="D14" s="20">
        <f>_xlfn.XLOOKUP(B14,高套!A:A,高套!B:B,0)</f>
        <v>2</v>
      </c>
      <c r="E14" s="21">
        <f t="shared" si="0"/>
        <v>0.227272727272727</v>
      </c>
      <c r="F14" s="22">
        <f ca="1">D14/(C14/W5*T$5)</f>
        <v>1.00649350649351</v>
      </c>
      <c r="G14" s="19">
        <f>_xlfn.XLOOKUP(B14,红黄牌高套!A:A,红黄牌高套!B:B,0)</f>
        <v>4.5</v>
      </c>
      <c r="H14" s="27" t="str">
        <f t="shared" si="7"/>
        <v>否</v>
      </c>
      <c r="I14" s="19">
        <v>2500</v>
      </c>
      <c r="J14" s="19">
        <f ca="1">VLOOKUP(B:B,完美一单!A:C,3,0)</f>
        <v>799</v>
      </c>
      <c r="K14" s="22">
        <f ca="1" t="shared" si="2"/>
        <v>0.3196</v>
      </c>
      <c r="L14" s="22">
        <f ca="1">J14/(I14/W5*T$5)</f>
        <v>1.41537142857143</v>
      </c>
      <c r="M14" s="24">
        <f ca="1" t="shared" si="8"/>
        <v>4</v>
      </c>
      <c r="N14" s="24">
        <f ca="1">VLOOKUP(_xlfn.SINGLE(B:B),激励!A:B,2,0)</f>
        <v>2375.5</v>
      </c>
      <c r="O14" s="20">
        <v>21</v>
      </c>
      <c r="P14" s="25">
        <f>_xlfn.XLOOKUP(B14,全光组网!A:A,全光组网!B:B,0)</f>
        <v>3</v>
      </c>
      <c r="Q14" s="26">
        <f t="shared" si="4"/>
        <v>0.142857142857143</v>
      </c>
      <c r="U14" s="30" t="s">
        <v>25</v>
      </c>
      <c r="V14">
        <f ca="1" t="shared" si="5"/>
        <v>1010</v>
      </c>
      <c r="W14">
        <f ca="1" t="shared" si="6"/>
        <v>2</v>
      </c>
    </row>
    <row r="15" ht="16.5" customHeight="1" spans="1:23">
      <c r="A15" s="35"/>
      <c r="B15" s="19" t="s">
        <v>32</v>
      </c>
      <c r="C15" s="19">
        <v>8.8</v>
      </c>
      <c r="D15" s="20">
        <f>_xlfn.XLOOKUP(B15,高套!A:A,高套!B:B,0)</f>
        <v>5</v>
      </c>
      <c r="E15" s="21">
        <f t="shared" si="0"/>
        <v>0.568181818181818</v>
      </c>
      <c r="F15" s="22">
        <f ca="1">D15/(C15/W5*T$5)</f>
        <v>2.51623376623377</v>
      </c>
      <c r="G15" s="19">
        <f>_xlfn.XLOOKUP(B15,红黄牌高套!A:A,红黄牌高套!B:B,0)</f>
        <v>9</v>
      </c>
      <c r="H15" s="27" t="str">
        <f t="shared" si="7"/>
        <v>否</v>
      </c>
      <c r="I15" s="19">
        <v>2500</v>
      </c>
      <c r="J15" s="19">
        <f ca="1">VLOOKUP(B:B,完美一单!A:C,3,0)</f>
        <v>2583</v>
      </c>
      <c r="K15" s="22">
        <f ca="1" t="shared" si="2"/>
        <v>1.0332</v>
      </c>
      <c r="L15" s="22">
        <f ca="1">J15/(I15/W5*T$5)</f>
        <v>4.5756</v>
      </c>
      <c r="M15" s="24">
        <f ca="1" t="shared" si="8"/>
        <v>1</v>
      </c>
      <c r="N15" s="24">
        <f ca="1">VLOOKUP(_xlfn.SINGLE(B:B),激励!A:B,2,0)</f>
        <v>6071.5</v>
      </c>
      <c r="O15" s="20">
        <v>21</v>
      </c>
      <c r="P15" s="25">
        <f>_xlfn.XLOOKUP(B15,全光组网!A:A,全光组网!B:B,0)</f>
        <v>5</v>
      </c>
      <c r="Q15" s="26">
        <f t="shared" si="4"/>
        <v>0.238095238095238</v>
      </c>
      <c r="U15" s="30" t="s">
        <v>26</v>
      </c>
      <c r="V15">
        <f ca="1" t="shared" si="5"/>
        <v>49</v>
      </c>
      <c r="W15">
        <f ca="1" t="shared" si="6"/>
        <v>10</v>
      </c>
    </row>
    <row r="16" ht="16.5" customHeight="1" spans="1:23">
      <c r="A16" s="35"/>
      <c r="B16" s="19" t="s">
        <v>33</v>
      </c>
      <c r="C16" s="19">
        <v>8.8</v>
      </c>
      <c r="D16" s="20">
        <f>_xlfn.XLOOKUP(B16,高套!A:A,高套!B:B,0)</f>
        <v>7.5</v>
      </c>
      <c r="E16" s="21">
        <f t="shared" si="0"/>
        <v>0.852272727272727</v>
      </c>
      <c r="F16" s="22">
        <f ca="1">D16/(C16/W5*T$5)</f>
        <v>3.77435064935065</v>
      </c>
      <c r="G16" s="19">
        <f>_xlfn.XLOOKUP(B16,红黄牌高套!A:A,红黄牌高套!B:B,0)</f>
        <v>7.5</v>
      </c>
      <c r="H16" s="27" t="str">
        <f t="shared" si="7"/>
        <v>否</v>
      </c>
      <c r="I16" s="19">
        <v>2500</v>
      </c>
      <c r="J16" s="19">
        <f ca="1">VLOOKUP(B:B,完美一单!A:C,3,0)</f>
        <v>741.16</v>
      </c>
      <c r="K16" s="22">
        <f ca="1" t="shared" si="2"/>
        <v>0.296464</v>
      </c>
      <c r="L16" s="22">
        <f ca="1">J16/(I16/W5*T$5)</f>
        <v>1.312912</v>
      </c>
      <c r="M16" s="24">
        <f ca="1" t="shared" si="8"/>
        <v>5</v>
      </c>
      <c r="N16" s="24">
        <f ca="1">VLOOKUP(_xlfn.SINGLE(B:B),激励!A:B,2,0)</f>
        <v>2993.74</v>
      </c>
      <c r="O16" s="20">
        <v>21</v>
      </c>
      <c r="P16" s="25">
        <f>_xlfn.XLOOKUP(B16,全光组网!A:A,全光组网!B:B,0)</f>
        <v>6</v>
      </c>
      <c r="Q16" s="26">
        <f t="shared" si="4"/>
        <v>0.285714285714286</v>
      </c>
      <c r="U16" s="30" t="s">
        <v>29</v>
      </c>
      <c r="V16">
        <f ca="1" t="shared" si="5"/>
        <v>0</v>
      </c>
      <c r="W16">
        <f ca="1" t="shared" si="6"/>
        <v>11</v>
      </c>
    </row>
    <row r="17" ht="16.5" customHeight="1" spans="1:23">
      <c r="A17" s="35"/>
      <c r="B17" s="19" t="s">
        <v>34</v>
      </c>
      <c r="C17" s="19">
        <v>8.8</v>
      </c>
      <c r="D17" s="20">
        <f>_xlfn.XLOOKUP(B17,高套!A:A,高套!B:B,0)</f>
        <v>3</v>
      </c>
      <c r="E17" s="21">
        <f t="shared" si="0"/>
        <v>0.340909090909091</v>
      </c>
      <c r="F17" s="22">
        <f ca="1">D17/(C17/W5*T$5)</f>
        <v>1.50974025974026</v>
      </c>
      <c r="G17" s="19">
        <f>_xlfn.XLOOKUP(B17,红黄牌高套!A:A,红黄牌高套!B:B,0)</f>
        <v>3</v>
      </c>
      <c r="H17" s="27" t="str">
        <f t="shared" si="7"/>
        <v>否</v>
      </c>
      <c r="I17" s="19">
        <v>2500</v>
      </c>
      <c r="J17" s="19">
        <f ca="1">VLOOKUP(B:B,完美一单!A:C,3,0)</f>
        <v>216</v>
      </c>
      <c r="K17" s="22">
        <f ca="1" t="shared" si="2"/>
        <v>0.0864</v>
      </c>
      <c r="L17" s="22">
        <f ca="1">J17/(I17/W5*T$5)</f>
        <v>0.382628571428571</v>
      </c>
      <c r="M17" s="24">
        <f ca="1" t="shared" si="8"/>
        <v>8</v>
      </c>
      <c r="N17" s="24">
        <f ca="1">VLOOKUP(_xlfn.SINGLE(B:B),激励!A:B,2,0)</f>
        <v>304</v>
      </c>
      <c r="O17" s="20">
        <v>21</v>
      </c>
      <c r="P17" s="25">
        <f>_xlfn.XLOOKUP(B17,全光组网!A:A,全光组网!B:B,0)</f>
        <v>0</v>
      </c>
      <c r="Q17" s="26">
        <f t="shared" si="4"/>
        <v>0</v>
      </c>
      <c r="U17" s="30" t="s">
        <v>30</v>
      </c>
      <c r="V17">
        <f ca="1" t="shared" si="5"/>
        <v>806.2</v>
      </c>
      <c r="W17">
        <f ca="1" t="shared" si="6"/>
        <v>3</v>
      </c>
    </row>
    <row r="18" ht="16.5" customHeight="1" spans="1:23">
      <c r="A18" s="35"/>
      <c r="B18" s="19" t="s">
        <v>35</v>
      </c>
      <c r="C18" s="19">
        <v>8.8</v>
      </c>
      <c r="D18" s="20">
        <f>_xlfn.XLOOKUP(B18,高套!A:A,高套!B:B,0)</f>
        <v>1.5</v>
      </c>
      <c r="E18" s="21">
        <f t="shared" si="0"/>
        <v>0.170454545454545</v>
      </c>
      <c r="F18" s="22">
        <f ca="1">D18/(C18/W5*T$5)</f>
        <v>0.75487012987013</v>
      </c>
      <c r="G18" s="19">
        <f>_xlfn.XLOOKUP(B18,红黄牌高套!A:A,红黄牌高套!B:B,0)</f>
        <v>1.5</v>
      </c>
      <c r="H18" s="27" t="str">
        <f t="shared" si="7"/>
        <v>是</v>
      </c>
      <c r="I18" s="19">
        <v>2500</v>
      </c>
      <c r="J18" s="19">
        <f ca="1">VLOOKUP(B:B,完美一单!A:C,3,0)</f>
        <v>-552.05</v>
      </c>
      <c r="K18" s="22">
        <f ca="1" t="shared" si="2"/>
        <v>-0.22082</v>
      </c>
      <c r="L18" s="22">
        <f ca="1">J18/(I18/W5*T$5)</f>
        <v>-0.977917142857143</v>
      </c>
      <c r="M18" s="24">
        <f ca="1" t="shared" si="8"/>
        <v>14</v>
      </c>
      <c r="N18" s="24">
        <f ca="1">VLOOKUP(_xlfn.SINGLE(B:B),激励!A:B,2,0)</f>
        <v>-848.075</v>
      </c>
      <c r="O18" s="20">
        <v>21</v>
      </c>
      <c r="P18" s="25">
        <f>_xlfn.XLOOKUP(B18,全光组网!A:A,全光组网!B:B,0)</f>
        <v>6</v>
      </c>
      <c r="Q18" s="26">
        <f t="shared" si="4"/>
        <v>0.285714285714286</v>
      </c>
      <c r="U18" s="30" t="s">
        <v>31</v>
      </c>
      <c r="V18">
        <f ca="1" t="shared" si="5"/>
        <v>799</v>
      </c>
      <c r="W18">
        <f ca="1" t="shared" si="6"/>
        <v>4</v>
      </c>
    </row>
    <row r="19" ht="16.5" customHeight="1" spans="1:23">
      <c r="A19" s="36"/>
      <c r="B19" s="37" t="s">
        <v>27</v>
      </c>
      <c r="C19" s="37">
        <f>SUM(C12:C18)</f>
        <v>61.6</v>
      </c>
      <c r="D19" s="37">
        <f>SUM(D12:D18)</f>
        <v>23.73</v>
      </c>
      <c r="E19" s="38">
        <f t="shared" si="0"/>
        <v>0.385227272727273</v>
      </c>
      <c r="F19" s="32">
        <f ca="1">D19/(C19/W5*T$5)</f>
        <v>1.70600649350649</v>
      </c>
      <c r="G19" s="37">
        <f>SUM(G12:G18)</f>
        <v>30.23</v>
      </c>
      <c r="H19" s="38"/>
      <c r="I19" s="39">
        <f>SUM(I12:I18)</f>
        <v>17500</v>
      </c>
      <c r="J19" s="37">
        <f ca="1">SUM(J12:J18)</f>
        <v>4593.31</v>
      </c>
      <c r="K19" s="38">
        <f ca="1" t="shared" si="2"/>
        <v>0.262474857142857</v>
      </c>
      <c r="L19" s="38">
        <f ca="1">J19/(I19/W5*T$5)</f>
        <v>1.16238865306122</v>
      </c>
      <c r="M19" s="37"/>
      <c r="N19" s="39"/>
      <c r="O19" s="37">
        <f>SUM(O12:O18)</f>
        <v>147</v>
      </c>
      <c r="P19" s="37">
        <f>SUM(P12:P18)</f>
        <v>20</v>
      </c>
      <c r="Q19" s="34">
        <f t="shared" si="4"/>
        <v>0.136054421768707</v>
      </c>
      <c r="U19" s="30" t="s">
        <v>32</v>
      </c>
      <c r="V19">
        <f ca="1" t="shared" si="5"/>
        <v>2583</v>
      </c>
      <c r="W19">
        <f ca="1" t="shared" si="6"/>
        <v>1</v>
      </c>
    </row>
    <row r="20" ht="15" customHeight="1" spans="1:23">
      <c r="A20" s="40" t="s">
        <v>36</v>
      </c>
      <c r="B20" s="41"/>
      <c r="C20" s="42">
        <v>132</v>
      </c>
      <c r="D20" s="43">
        <f>D11+D19</f>
        <v>24.73</v>
      </c>
      <c r="E20" s="44">
        <f t="shared" si="0"/>
        <v>0.187348484848485</v>
      </c>
      <c r="F20" s="45">
        <f ca="1">D20/(C20/W5*T$5)</f>
        <v>0.829686147186147</v>
      </c>
      <c r="G20" s="46">
        <f>G11+G19</f>
        <v>40.23</v>
      </c>
      <c r="H20" s="45"/>
      <c r="I20" s="47">
        <f>I11+I19</f>
        <v>35000</v>
      </c>
      <c r="J20" s="42">
        <f ca="1">J11+J19</f>
        <v>6494.24</v>
      </c>
      <c r="K20" s="48">
        <f ca="1" t="shared" si="2"/>
        <v>0.185549714285714</v>
      </c>
      <c r="L20" s="49">
        <f ca="1">J20/(I20/W5*T$5)</f>
        <v>0.821720163265306</v>
      </c>
      <c r="M20" s="50"/>
      <c r="N20" s="51" t="s">
        <v>37</v>
      </c>
      <c r="O20" s="52"/>
      <c r="P20" s="53">
        <f>P11+P19</f>
        <v>20</v>
      </c>
      <c r="Q20" s="26">
        <f>P20/O21</f>
        <v>0.0645161290322581</v>
      </c>
      <c r="U20" s="30" t="s">
        <v>33</v>
      </c>
      <c r="V20">
        <f ca="1" t="shared" si="5"/>
        <v>741.16</v>
      </c>
      <c r="W20">
        <f ca="1" t="shared" si="6"/>
        <v>5</v>
      </c>
    </row>
    <row r="21" ht="15" customHeight="1" spans="1:23">
      <c r="A21" s="17"/>
      <c r="B21" s="54"/>
      <c r="C21" s="54"/>
      <c r="D21" s="54"/>
      <c r="E21" s="54"/>
      <c r="F21" s="36"/>
      <c r="G21" s="54"/>
      <c r="H21" s="36"/>
      <c r="I21" s="54"/>
      <c r="J21" s="54"/>
      <c r="K21" s="55"/>
      <c r="L21" s="36"/>
      <c r="M21" s="56"/>
      <c r="N21" s="51" t="s">
        <v>38</v>
      </c>
      <c r="O21" s="57">
        <v>310</v>
      </c>
      <c r="P21" s="58">
        <f>_xlfn.XLOOKUP(N21,全光组网!A:A,全光组网!B:B,0)</f>
        <v>40</v>
      </c>
      <c r="Q21" s="26">
        <f>P21/O21</f>
        <v>0.129032258064516</v>
      </c>
      <c r="U21" s="59" t="s">
        <v>35</v>
      </c>
      <c r="V21">
        <f ca="1" t="shared" si="5"/>
        <v>-552.05</v>
      </c>
      <c r="W21">
        <f ca="1" t="shared" si="6"/>
        <v>14</v>
      </c>
    </row>
    <row r="22" ht="16.5" customHeight="1" spans="1:23">
      <c r="A22" s="13" t="s">
        <v>39</v>
      </c>
      <c r="B22" s="19" t="s">
        <v>40</v>
      </c>
      <c r="C22" s="22" t="s">
        <v>41</v>
      </c>
      <c r="D22" s="22" t="s">
        <v>41</v>
      </c>
      <c r="E22" s="22" t="s">
        <v>41</v>
      </c>
      <c r="F22" s="22" t="s">
        <v>41</v>
      </c>
      <c r="G22" s="19">
        <f>高装高套!B2</f>
        <v>0</v>
      </c>
      <c r="H22" s="22" t="s">
        <v>41</v>
      </c>
      <c r="I22" s="22" t="s">
        <v>41</v>
      </c>
      <c r="J22" s="19">
        <f ca="1">VLOOKUP(_xlfn.SINGLE(B:B),完美一单!A:C,3,0)</f>
        <v>0</v>
      </c>
      <c r="K22" s="22" t="s">
        <v>41</v>
      </c>
      <c r="L22" s="22" t="s">
        <v>41</v>
      </c>
      <c r="M22" s="24" t="s">
        <v>41</v>
      </c>
      <c r="N22" s="24">
        <f ca="1">VLOOKUP(B:B,激励!A:B,2,0)</f>
        <v>0</v>
      </c>
      <c r="O22" s="20" t="s">
        <v>41</v>
      </c>
      <c r="P22" s="25" t="s">
        <v>41</v>
      </c>
      <c r="Q22" s="26" t="s">
        <v>41</v>
      </c>
      <c r="U22" s="60" t="s">
        <v>34</v>
      </c>
      <c r="V22">
        <f ca="1" t="shared" si="5"/>
        <v>216</v>
      </c>
      <c r="W22">
        <f ca="1" t="shared" si="6"/>
        <v>8</v>
      </c>
    </row>
    <row r="23" ht="14.25" customHeight="1" spans="1:23">
      <c r="A23" s="35"/>
      <c r="B23" s="19" t="s">
        <v>42</v>
      </c>
      <c r="C23" s="22" t="s">
        <v>41</v>
      </c>
      <c r="D23" s="22" t="s">
        <v>41</v>
      </c>
      <c r="E23" s="22" t="s">
        <v>41</v>
      </c>
      <c r="F23" s="22" t="s">
        <v>41</v>
      </c>
      <c r="G23" s="19">
        <f>高装高套!B3</f>
        <v>0</v>
      </c>
      <c r="H23" s="22" t="s">
        <v>41</v>
      </c>
      <c r="I23" s="22" t="s">
        <v>41</v>
      </c>
      <c r="J23" s="19">
        <f ca="1">VLOOKUP(_xlfn.SINGLE(B:B),完美一单!A:C,3,0)</f>
        <v>0</v>
      </c>
      <c r="K23" s="22" t="s">
        <v>41</v>
      </c>
      <c r="L23" s="22" t="s">
        <v>41</v>
      </c>
      <c r="M23" s="24" t="s">
        <v>41</v>
      </c>
      <c r="N23" s="24">
        <f ca="1">VLOOKUP(B:B,激励!A:B,2,0)</f>
        <v>0</v>
      </c>
      <c r="O23" s="20" t="s">
        <v>41</v>
      </c>
      <c r="P23" s="25" t="s">
        <v>41</v>
      </c>
      <c r="Q23" s="26" t="s">
        <v>41</v>
      </c>
    </row>
    <row r="24" ht="14.25" customHeight="1" spans="1:23">
      <c r="A24" s="35"/>
      <c r="B24" s="19" t="s">
        <v>43</v>
      </c>
      <c r="C24" s="22" t="s">
        <v>41</v>
      </c>
      <c r="D24" s="22" t="s">
        <v>41</v>
      </c>
      <c r="E24" s="22" t="s">
        <v>41</v>
      </c>
      <c r="F24" s="22" t="s">
        <v>41</v>
      </c>
      <c r="G24" s="19">
        <f>高装高套!B4</f>
        <v>0</v>
      </c>
      <c r="H24" s="22" t="s">
        <v>41</v>
      </c>
      <c r="I24" s="22" t="s">
        <v>41</v>
      </c>
      <c r="J24" s="19">
        <f ca="1">VLOOKUP(_xlfn.SINGLE(B:B),完美一单!A:C,3,0)</f>
        <v>0</v>
      </c>
      <c r="K24" s="22" t="s">
        <v>41</v>
      </c>
      <c r="L24" s="22" t="s">
        <v>41</v>
      </c>
      <c r="M24" s="24" t="s">
        <v>41</v>
      </c>
      <c r="N24" s="24">
        <f ca="1">VLOOKUP(B:B,激励!A:B,2,0)</f>
        <v>0</v>
      </c>
      <c r="O24" s="20" t="s">
        <v>41</v>
      </c>
      <c r="P24" s="25" t="s">
        <v>41</v>
      </c>
      <c r="Q24" s="26" t="s">
        <v>41</v>
      </c>
    </row>
    <row r="25" ht="14.25" customHeight="1" spans="1:23">
      <c r="A25" s="35"/>
      <c r="B25" s="19" t="s">
        <v>44</v>
      </c>
      <c r="C25" s="22" t="s">
        <v>41</v>
      </c>
      <c r="D25" s="22" t="s">
        <v>41</v>
      </c>
      <c r="E25" s="22" t="s">
        <v>41</v>
      </c>
      <c r="F25" s="22" t="s">
        <v>41</v>
      </c>
      <c r="G25" s="19">
        <f>高装高套!B5</f>
        <v>0</v>
      </c>
      <c r="H25" s="22" t="s">
        <v>41</v>
      </c>
      <c r="I25" s="22" t="s">
        <v>41</v>
      </c>
      <c r="J25" s="19">
        <f ca="1">VLOOKUP(_xlfn.SINGLE(B:B),完美一单!A:C,3,0)</f>
        <v>0</v>
      </c>
      <c r="K25" s="22" t="s">
        <v>41</v>
      </c>
      <c r="L25" s="22" t="s">
        <v>41</v>
      </c>
      <c r="M25" s="24" t="s">
        <v>41</v>
      </c>
      <c r="N25" s="24">
        <f ca="1">VLOOKUP(B:B,激励!A:B,2,0)</f>
        <v>0</v>
      </c>
      <c r="O25" s="20" t="s">
        <v>41</v>
      </c>
      <c r="P25" s="25" t="s">
        <v>41</v>
      </c>
      <c r="Q25" s="26" t="s">
        <v>41</v>
      </c>
    </row>
    <row r="26" ht="14.25" customHeight="1" spans="1:23">
      <c r="A26" s="35"/>
      <c r="B26" s="19" t="s">
        <v>45</v>
      </c>
      <c r="C26" s="22" t="s">
        <v>41</v>
      </c>
      <c r="D26" s="22" t="s">
        <v>41</v>
      </c>
      <c r="E26" s="22" t="s">
        <v>41</v>
      </c>
      <c r="F26" s="22" t="s">
        <v>41</v>
      </c>
      <c r="G26" s="19">
        <f>高装高套!B6</f>
        <v>0</v>
      </c>
      <c r="H26" s="22" t="s">
        <v>41</v>
      </c>
      <c r="I26" s="22" t="s">
        <v>41</v>
      </c>
      <c r="J26" s="19">
        <f ca="1">VLOOKUP(_xlfn.SINGLE(B:B),完美一单!A:C,3,0)</f>
        <v>0</v>
      </c>
      <c r="K26" s="22" t="s">
        <v>41</v>
      </c>
      <c r="L26" s="22" t="s">
        <v>41</v>
      </c>
      <c r="M26" s="24" t="s">
        <v>41</v>
      </c>
      <c r="N26" s="24">
        <f ca="1">VLOOKUP(B:B,激励!A:B,2,0)</f>
        <v>0</v>
      </c>
      <c r="O26" s="20" t="s">
        <v>41</v>
      </c>
      <c r="P26" s="25" t="s">
        <v>41</v>
      </c>
      <c r="Q26" s="26" t="s">
        <v>41</v>
      </c>
    </row>
    <row r="27" ht="16.5" customHeight="1" spans="1:23">
      <c r="A27" s="35"/>
      <c r="B27" s="19" t="s">
        <v>46</v>
      </c>
      <c r="C27" s="22" t="s">
        <v>41</v>
      </c>
      <c r="D27" s="22" t="s">
        <v>41</v>
      </c>
      <c r="E27" s="22" t="s">
        <v>41</v>
      </c>
      <c r="F27" s="22" t="s">
        <v>41</v>
      </c>
      <c r="G27" s="19">
        <f>高装高套!B7</f>
        <v>1.5</v>
      </c>
      <c r="H27" s="22" t="s">
        <v>41</v>
      </c>
      <c r="I27" s="22" t="s">
        <v>41</v>
      </c>
      <c r="J27" s="19">
        <f ca="1">VLOOKUP(_xlfn.SINGLE(B:B),完美一单!A:C,3,0)</f>
        <v>239</v>
      </c>
      <c r="K27" s="22" t="s">
        <v>41</v>
      </c>
      <c r="L27" s="22" t="s">
        <v>41</v>
      </c>
      <c r="M27" s="24" t="s">
        <v>41</v>
      </c>
      <c r="N27" s="24">
        <f ca="1">VLOOKUP(B:B,激励!A:B,2,0)</f>
        <v>1075.5</v>
      </c>
      <c r="O27" s="20" t="s">
        <v>41</v>
      </c>
      <c r="P27" s="25" t="s">
        <v>41</v>
      </c>
      <c r="Q27" s="26" t="s">
        <v>41</v>
      </c>
    </row>
    <row r="28" ht="16.5" customHeight="1" spans="1:23">
      <c r="A28" s="35"/>
      <c r="B28" s="19" t="s">
        <v>47</v>
      </c>
      <c r="C28" s="22" t="s">
        <v>41</v>
      </c>
      <c r="D28" s="22" t="s">
        <v>41</v>
      </c>
      <c r="E28" s="22" t="s">
        <v>41</v>
      </c>
      <c r="F28" s="22" t="s">
        <v>41</v>
      </c>
      <c r="G28" s="19">
        <f>高装高套!B8</f>
        <v>0</v>
      </c>
      <c r="H28" s="22" t="s">
        <v>41</v>
      </c>
      <c r="I28" s="22" t="s">
        <v>41</v>
      </c>
      <c r="J28" s="19">
        <f ca="1">VLOOKUP(_xlfn.SINGLE(B:B),完美一单!A:C,3,0)</f>
        <v>0</v>
      </c>
      <c r="K28" s="22" t="s">
        <v>41</v>
      </c>
      <c r="L28" s="22" t="s">
        <v>41</v>
      </c>
      <c r="M28" s="24" t="s">
        <v>41</v>
      </c>
      <c r="N28" s="24">
        <f ca="1">VLOOKUP(B:B,激励!A:B,2,0)</f>
        <v>0</v>
      </c>
      <c r="O28" s="20" t="s">
        <v>41</v>
      </c>
      <c r="P28" s="25" t="s">
        <v>41</v>
      </c>
      <c r="Q28" s="26" t="s">
        <v>41</v>
      </c>
    </row>
    <row r="29" ht="16.5" customHeight="1" spans="1:23">
      <c r="A29" s="36"/>
      <c r="B29" s="19" t="s">
        <v>48</v>
      </c>
      <c r="C29" s="22" t="s">
        <v>41</v>
      </c>
      <c r="D29" s="22" t="s">
        <v>41</v>
      </c>
      <c r="E29" s="22" t="s">
        <v>41</v>
      </c>
      <c r="F29" s="22" t="s">
        <v>41</v>
      </c>
      <c r="G29" s="19">
        <f>高装高套!B9</f>
        <v>0</v>
      </c>
      <c r="H29" s="22" t="s">
        <v>41</v>
      </c>
      <c r="I29" s="22" t="s">
        <v>41</v>
      </c>
      <c r="J29" s="19">
        <f ca="1">VLOOKUP(_xlfn.SINGLE(B:B),完美一单!A:C,3,0)</f>
        <v>0</v>
      </c>
      <c r="K29" s="22" t="s">
        <v>41</v>
      </c>
      <c r="L29" s="22" t="s">
        <v>41</v>
      </c>
      <c r="M29" s="24" t="s">
        <v>41</v>
      </c>
      <c r="N29" s="24">
        <f ca="1">VLOOKUP(B:B,激励!A:B,2,0)</f>
        <v>0</v>
      </c>
      <c r="O29" s="20" t="s">
        <v>41</v>
      </c>
      <c r="P29" s="25" t="s">
        <v>41</v>
      </c>
      <c r="Q29" s="26" t="s">
        <v>41</v>
      </c>
    </row>
    <row r="30" ht="16.5" customHeight="1" spans="1:23">
      <c r="A30" s="61" t="s">
        <v>49</v>
      </c>
      <c r="B30" s="15"/>
      <c r="C30" s="22" t="s">
        <v>41</v>
      </c>
      <c r="D30" s="22" t="s">
        <v>41</v>
      </c>
      <c r="E30" s="22" t="s">
        <v>41</v>
      </c>
      <c r="F30" s="22" t="s">
        <v>41</v>
      </c>
      <c r="G30" s="19">
        <f>SUM(G22:G29)</f>
        <v>1.5</v>
      </c>
      <c r="H30" s="22" t="s">
        <v>41</v>
      </c>
      <c r="I30" s="22" t="s">
        <v>41</v>
      </c>
      <c r="J30" s="19">
        <f ca="1">SUM(J22:J29)</f>
        <v>239</v>
      </c>
      <c r="K30" s="22" t="s">
        <v>41</v>
      </c>
      <c r="L30" s="22" t="s">
        <v>41</v>
      </c>
      <c r="M30" s="22" t="s">
        <v>41</v>
      </c>
      <c r="N30" s="22" t="s">
        <v>41</v>
      </c>
      <c r="O30" s="22" t="s">
        <v>41</v>
      </c>
      <c r="P30" s="22" t="s">
        <v>41</v>
      </c>
      <c r="Q30" s="22" t="s">
        <v>41</v>
      </c>
    </row>
    <row r="31" ht="16.5" customHeight="1"/>
    <row r="32" ht="16.5" customHeight="1" spans="1:23">
      <c r="G32"/>
      <c r="I32"/>
      <c r="J32"/>
      <c r="N32"/>
    </row>
    <row r="33" ht="16.5" customHeight="1" spans="1:14">
      <c r="A33" s="62" t="str">
        <f ca="1">"高装高套目标完成情况（截至"&amp;MONTH(TODAY()-1)&amp;"月"&amp;DAY(TODAY()-1)&amp;"日）"</f>
        <v>高装高套目标完成情况（截至5月7日）</v>
      </c>
      <c r="B33" s="62"/>
      <c r="C33" s="62"/>
      <c r="D33" s="62"/>
      <c r="E33" s="62"/>
      <c r="F33" s="62"/>
      <c r="G33"/>
      <c r="I33" s="63" t="str">
        <f ca="1">"全光任务完成情况（截至"&amp;MONTH(TODAY()-1)&amp;"月"&amp;DAY(TODAY()-1)&amp;"日）"</f>
        <v>全光任务完成情况（截至5月7日）</v>
      </c>
      <c r="K33" s="11"/>
      <c r="N33"/>
    </row>
    <row r="34" ht="16.5" customHeight="1" spans="1:14">
      <c r="A34" s="64" t="s">
        <v>50</v>
      </c>
      <c r="B34" s="64" t="s">
        <v>51</v>
      </c>
      <c r="C34" s="64" t="s">
        <v>52</v>
      </c>
      <c r="D34" s="64" t="s">
        <v>53</v>
      </c>
      <c r="E34" s="64" t="s">
        <v>12</v>
      </c>
      <c r="F34" s="64" t="s">
        <v>54</v>
      </c>
      <c r="G34"/>
      <c r="I34" s="65" t="s">
        <v>50</v>
      </c>
      <c r="J34" s="65" t="s">
        <v>51</v>
      </c>
      <c r="K34" s="65" t="s">
        <v>16</v>
      </c>
      <c r="L34" s="66" t="s">
        <v>55</v>
      </c>
      <c r="M34" s="65" t="s">
        <v>18</v>
      </c>
      <c r="N34"/>
    </row>
    <row r="35" ht="16.5" customHeight="1" spans="1:14">
      <c r="A35" s="67" t="s">
        <v>39</v>
      </c>
      <c r="B35" s="68" t="str">
        <f>高装高套!A2</f>
        <v>陈梓铭</v>
      </c>
      <c r="C35" s="68">
        <v>1</v>
      </c>
      <c r="D35" s="68">
        <f>高装高套!B2</f>
        <v>0</v>
      </c>
      <c r="E35" s="69">
        <f ca="1">VLOOKUP(B:B,完美一单!A:C,3,0)</f>
        <v>0</v>
      </c>
      <c r="F35" s="69">
        <f ca="1">VLOOKUP(_xlfn.SINGLE(B:B),激励!A:B,2,0)</f>
        <v>0</v>
      </c>
      <c r="G35"/>
      <c r="I35" s="70" t="s">
        <v>56</v>
      </c>
      <c r="J35" s="71" t="s">
        <v>57</v>
      </c>
      <c r="K35" s="71">
        <v>84</v>
      </c>
      <c r="L35" s="71">
        <f>交付高装!D2</f>
        <v>3</v>
      </c>
      <c r="M35" s="72">
        <f>交付高装!E2</f>
        <v>0.0357142857142857</v>
      </c>
      <c r="N35"/>
    </row>
    <row r="36" ht="16.5" customHeight="1" spans="1:14">
      <c r="A36" s="73"/>
      <c r="B36" s="74" t="str">
        <f>高装高套!A3</f>
        <v>程庆德</v>
      </c>
      <c r="C36" s="74">
        <v>1</v>
      </c>
      <c r="D36" s="74">
        <f>高装高套!B3</f>
        <v>0</v>
      </c>
      <c r="E36" s="75">
        <f ca="1">VLOOKUP(B:B,完美一单!A:C,3,0)</f>
        <v>0</v>
      </c>
      <c r="F36" s="75">
        <f ca="1">VLOOKUP(_xlfn.SINGLE(B:B),激励!A:B,2,0)</f>
        <v>0</v>
      </c>
      <c r="G36"/>
      <c r="I36" s="76"/>
      <c r="J36" s="71" t="s">
        <v>58</v>
      </c>
      <c r="K36" s="71">
        <v>84</v>
      </c>
      <c r="L36" s="71">
        <f>交付高装!D3</f>
        <v>5</v>
      </c>
      <c r="M36" s="72">
        <f>交付高装!E3</f>
        <v>0.0595238095238095</v>
      </c>
      <c r="N36"/>
    </row>
    <row r="37" ht="16.5" customHeight="1" spans="1:14">
      <c r="A37" s="73"/>
      <c r="B37" s="68" t="str">
        <f>高装高套!A4</f>
        <v>刘奇峻</v>
      </c>
      <c r="C37" s="68">
        <v>1</v>
      </c>
      <c r="D37" s="68">
        <f>高装高套!B4</f>
        <v>0</v>
      </c>
      <c r="E37" s="69">
        <f ca="1">VLOOKUP(B:B,完美一单!A:C,3,0)</f>
        <v>0</v>
      </c>
      <c r="F37" s="69">
        <f ca="1">VLOOKUP(_xlfn.SINGLE(B:B),激励!A:B,2,0)</f>
        <v>0</v>
      </c>
      <c r="G37"/>
      <c r="I37" s="76"/>
      <c r="J37" s="77" t="s">
        <v>59</v>
      </c>
      <c r="K37" s="71">
        <v>84</v>
      </c>
      <c r="L37" s="71">
        <f>交付高装!D4</f>
        <v>6</v>
      </c>
      <c r="M37" s="72">
        <f>交付高装!E4</f>
        <v>0.0714285714285714</v>
      </c>
      <c r="N37"/>
    </row>
    <row r="38" ht="16.5" customHeight="1" spans="1:14">
      <c r="A38" s="73"/>
      <c r="B38" s="74" t="str">
        <f>高装高套!A5</f>
        <v>龙家宝</v>
      </c>
      <c r="C38" s="74">
        <v>1</v>
      </c>
      <c r="D38" s="74">
        <f>高装高套!B5</f>
        <v>0</v>
      </c>
      <c r="E38" s="75">
        <f ca="1">VLOOKUP(B:B,完美一单!A:C,3,0)</f>
        <v>0</v>
      </c>
      <c r="F38" s="75">
        <f ca="1">VLOOKUP(_xlfn.SINGLE(B:B),激励!A:B,2,0)</f>
        <v>0</v>
      </c>
      <c r="G38"/>
      <c r="I38" s="76"/>
      <c r="J38" s="71" t="s">
        <v>60</v>
      </c>
      <c r="K38" s="71">
        <v>63</v>
      </c>
      <c r="L38" s="71">
        <f>交付高装!D5</f>
        <v>6</v>
      </c>
      <c r="M38" s="72">
        <f>交付高装!E5</f>
        <v>0.0983606557377049</v>
      </c>
      <c r="N38"/>
    </row>
    <row r="39" ht="16.5" customHeight="1" spans="1:14">
      <c r="A39" s="73"/>
      <c r="B39" s="68" t="str">
        <f>高装高套!A6</f>
        <v>罗紫杰</v>
      </c>
      <c r="C39" s="68">
        <v>1</v>
      </c>
      <c r="D39" s="68">
        <f>高装高套!B6</f>
        <v>0</v>
      </c>
      <c r="E39" s="69">
        <f ca="1">VLOOKUP(B:B,完美一单!A:C,3,0)</f>
        <v>0</v>
      </c>
      <c r="F39" s="69">
        <f ca="1">VLOOKUP(_xlfn.SINGLE(B:B),激励!A:B,2,0)</f>
        <v>0</v>
      </c>
      <c r="G39"/>
      <c r="I39" s="78" t="s">
        <v>39</v>
      </c>
      <c r="J39" s="79" t="s">
        <v>40</v>
      </c>
      <c r="K39" s="80">
        <v>42</v>
      </c>
      <c r="L39" s="80">
        <f>交付高装!D6</f>
        <v>0</v>
      </c>
      <c r="M39" s="81">
        <f>交付高装!E6</f>
        <v>0</v>
      </c>
      <c r="N39"/>
    </row>
    <row r="40" ht="16.5" customHeight="1" spans="1:14">
      <c r="A40" s="73"/>
      <c r="B40" s="74" t="str">
        <f>高装高套!A7</f>
        <v>莫健铭</v>
      </c>
      <c r="C40" s="74">
        <v>1</v>
      </c>
      <c r="D40" s="74">
        <f>高装高套!B7</f>
        <v>1.5</v>
      </c>
      <c r="E40" s="75">
        <f ca="1">VLOOKUP(B:B,完美一单!A:C,3,0)</f>
        <v>239</v>
      </c>
      <c r="F40" s="75">
        <f ca="1">VLOOKUP(_xlfn.SINGLE(B:B),激励!A:B,2,0)</f>
        <v>1075.5</v>
      </c>
      <c r="G40"/>
      <c r="I40" s="82"/>
      <c r="J40" s="79" t="s">
        <v>42</v>
      </c>
      <c r="K40" s="80">
        <v>42</v>
      </c>
      <c r="L40" s="80">
        <f>交付高装!D7</f>
        <v>0</v>
      </c>
      <c r="M40" s="81">
        <f>交付高装!E7</f>
        <v>0</v>
      </c>
      <c r="N40"/>
    </row>
    <row r="41" ht="16.5" customHeight="1" spans="1:14">
      <c r="A41" s="73"/>
      <c r="B41" s="68" t="str">
        <f>高装高套!A8</f>
        <v>吴广仁</v>
      </c>
      <c r="C41" s="68">
        <v>1</v>
      </c>
      <c r="D41" s="68">
        <f>高装高套!B8</f>
        <v>0</v>
      </c>
      <c r="E41" s="69">
        <f ca="1">VLOOKUP(B:B,完美一单!A:C,3,0)</f>
        <v>0</v>
      </c>
      <c r="F41" s="69">
        <f ca="1">VLOOKUP(_xlfn.SINGLE(B:B),激励!A:B,2,0)</f>
        <v>0</v>
      </c>
      <c r="G41"/>
      <c r="I41" s="82"/>
      <c r="J41" s="79" t="s">
        <v>43</v>
      </c>
      <c r="K41" s="80">
        <v>42</v>
      </c>
      <c r="L41" s="80">
        <f>交付高装!D8</f>
        <v>0</v>
      </c>
      <c r="M41" s="81">
        <f>交付高装!E8</f>
        <v>0</v>
      </c>
      <c r="N41"/>
    </row>
    <row r="42" ht="13.5" customHeight="1" spans="1:14">
      <c r="A42" s="83"/>
      <c r="B42" s="74" t="str">
        <f>高装高套!A9</f>
        <v>王洪明</v>
      </c>
      <c r="C42" s="74">
        <v>1</v>
      </c>
      <c r="D42" s="74">
        <f>高装高套!B9</f>
        <v>0</v>
      </c>
      <c r="E42" s="75">
        <f ca="1">VLOOKUP(B:B,完美一单!A:C,3,0)</f>
        <v>0</v>
      </c>
      <c r="F42" s="75">
        <f ca="1">VLOOKUP(_xlfn.SINGLE(B:B),激励!A:B,2,0)</f>
        <v>0</v>
      </c>
      <c r="G42"/>
      <c r="I42" s="82"/>
      <c r="J42" s="79" t="s">
        <v>44</v>
      </c>
      <c r="K42" s="80">
        <v>42</v>
      </c>
      <c r="L42" s="80">
        <f>交付高装!D9</f>
        <v>0</v>
      </c>
      <c r="M42" s="81">
        <f>交付高装!E9</f>
        <v>0</v>
      </c>
      <c r="N42"/>
    </row>
    <row r="43" ht="16.5" customHeight="1" spans="1:14">
      <c r="A43" s="84" t="s">
        <v>61</v>
      </c>
      <c r="B43" s="85"/>
      <c r="C43" s="84">
        <f t="shared" ref="C43:F43" si="9">SUM(C35:C42)</f>
        <v>8</v>
      </c>
      <c r="D43" s="84">
        <f t="shared" si="9"/>
        <v>1.5</v>
      </c>
      <c r="E43" s="84">
        <f ca="1" t="shared" si="9"/>
        <v>239</v>
      </c>
      <c r="F43" s="84" t="s">
        <v>41</v>
      </c>
      <c r="G43"/>
      <c r="I43" s="82"/>
      <c r="J43" s="79" t="s">
        <v>45</v>
      </c>
      <c r="K43" s="80">
        <v>42</v>
      </c>
      <c r="L43" s="80">
        <f>交付高装!D10</f>
        <v>0</v>
      </c>
      <c r="M43" s="81">
        <f>交付高装!E10</f>
        <v>0</v>
      </c>
      <c r="N43"/>
    </row>
    <row r="44" spans="1:14">
      <c r="F44"/>
      <c r="G44"/>
      <c r="I44" s="82"/>
      <c r="J44" s="79" t="s">
        <v>46</v>
      </c>
      <c r="K44" s="80">
        <v>42</v>
      </c>
      <c r="L44" s="80">
        <f>交付高装!D11</f>
        <v>0</v>
      </c>
      <c r="M44" s="81">
        <f>交付高装!E11</f>
        <v>0</v>
      </c>
      <c r="N44"/>
    </row>
    <row r="45" ht="13.5" customHeight="1" spans="1:14">
      <c r="F45"/>
      <c r="G45"/>
      <c r="I45" s="82"/>
      <c r="J45" s="79" t="s">
        <v>47</v>
      </c>
      <c r="K45" s="80">
        <v>42</v>
      </c>
      <c r="L45" s="80">
        <f>交付高装!D12</f>
        <v>0</v>
      </c>
      <c r="M45" s="81">
        <f>交付高装!E12</f>
        <v>0</v>
      </c>
      <c r="N45"/>
    </row>
    <row r="46" ht="13.5" customHeight="1" spans="1:14">
      <c r="F46"/>
      <c r="G46"/>
      <c r="I46" s="86"/>
      <c r="J46" s="87" t="s">
        <v>62</v>
      </c>
      <c r="K46" s="80">
        <v>310</v>
      </c>
      <c r="L46" s="80">
        <f>SUM(L35:L38)</f>
        <v>20</v>
      </c>
      <c r="M46" s="81">
        <f>L46/K46</f>
        <v>0.0645161290322581</v>
      </c>
      <c r="N46"/>
    </row>
    <row r="47" ht="13.5" customHeight="1"/>
    <row r="48" ht="13.5" customHeight="1" spans="1:14">
      <c r="F48"/>
      <c r="G48"/>
      <c r="I48"/>
      <c r="J48"/>
      <c r="N48"/>
    </row>
    <row r="49" ht="13.5" customHeight="1" spans="1:14">
      <c r="A49" s="88" t="str">
        <f ca="1">""&amp;MONTH(TODAY())&amp;"月份商机统计表（预计转化时间为"&amp;MONTH(TODAY())&amp;"月）"</f>
        <v>5月份商机统计表（预计转化时间为5月）</v>
      </c>
      <c r="B49" s="89"/>
      <c r="C49" s="89"/>
      <c r="D49" s="90"/>
      <c r="F49"/>
      <c r="G49" s="91" t="s">
        <v>63</v>
      </c>
    </row>
    <row r="50" ht="13.5" customHeight="1" spans="1:14">
      <c r="A50" s="92" t="str">
        <f ca="1">"（数据截止"&amp;TEXT(TODAY()-1,"m月d日")&amp;",剔除目前进度为""失败""、""已受理""的商机；剔除商机小类为""产数项目""的项）"</f>
        <v>（数据截止5月7日,剔除目前进度为"失败"、"已受理"的商机；剔除商机小类为"产数项目"的项）</v>
      </c>
      <c r="B50" s="93"/>
      <c r="C50" s="93"/>
      <c r="D50" s="94"/>
      <c r="F50"/>
      <c r="G50" s="95" t="str">
        <f ca="1">"（数据截止"&amp;TEXT(TODAY()-1,"m月d日")&amp;",剔除目前进度为""失败""、""已受理""的商机；剔除商机小类为""产数项目""的项）"</f>
        <v>（数据截止5月7日,剔除目前进度为"失败"、"已受理"的商机；剔除商机小类为"产数项目"的项）</v>
      </c>
    </row>
    <row r="51" ht="14.75" customHeight="1" spans="1:14">
      <c r="A51" s="8" t="s">
        <v>4</v>
      </c>
      <c r="B51" s="9" t="s">
        <v>64</v>
      </c>
      <c r="C51" s="9" t="s">
        <v>65</v>
      </c>
      <c r="D51" s="10" t="s">
        <v>66</v>
      </c>
      <c r="F51"/>
      <c r="G51" s="96" t="s">
        <v>4</v>
      </c>
      <c r="H51" s="9" t="s">
        <v>64</v>
      </c>
      <c r="I51" s="97" t="s">
        <v>65</v>
      </c>
      <c r="J51" s="98" t="s">
        <v>66</v>
      </c>
    </row>
    <row r="52" spans="1:14">
      <c r="A52" s="99" t="str">
        <f>商机统计!A2</f>
        <v>谢卓和</v>
      </c>
      <c r="B52" s="100">
        <f>商机统计!B2</f>
        <v>14</v>
      </c>
      <c r="C52" s="100">
        <f>商机统计!C2</f>
        <v>47.5</v>
      </c>
      <c r="D52" s="101">
        <f>商机统计!D2</f>
        <v>5190</v>
      </c>
      <c r="F52"/>
      <c r="G52" s="99" t="str">
        <f>商机统计!F2</f>
        <v>谢卓和</v>
      </c>
      <c r="H52" s="100">
        <f>商机统计!G2</f>
        <v>17</v>
      </c>
      <c r="I52" s="100">
        <f>商机统计!H2</f>
        <v>60.5</v>
      </c>
      <c r="J52" s="101">
        <f>商机统计!I2</f>
        <v>6798</v>
      </c>
    </row>
    <row r="53" spans="1:14">
      <c r="A53" s="102" t="str">
        <f>商机统计!A3</f>
        <v>黄淡妮</v>
      </c>
      <c r="B53" s="103">
        <f>商机统计!B3</f>
        <v>10</v>
      </c>
      <c r="C53" s="103">
        <f>商机统计!C3</f>
        <v>40.9</v>
      </c>
      <c r="D53" s="104">
        <f>商机统计!D3</f>
        <v>6793</v>
      </c>
      <c r="G53" s="102" t="str">
        <f>商机统计!F3</f>
        <v>邱海燕</v>
      </c>
      <c r="H53" s="103">
        <f>商机统计!G3</f>
        <v>5</v>
      </c>
      <c r="I53" s="103">
        <f>商机统计!H3</f>
        <v>49.2</v>
      </c>
      <c r="J53" s="104">
        <f>商机统计!I3</f>
        <v>6479</v>
      </c>
    </row>
    <row r="54" spans="1:14">
      <c r="A54" s="105" t="str">
        <f>商机统计!A4</f>
        <v>具进康</v>
      </c>
      <c r="B54" s="106">
        <f>商机统计!B4</f>
        <v>8</v>
      </c>
      <c r="C54" s="106">
        <f>商机统计!C4</f>
        <v>20.5</v>
      </c>
      <c r="D54" s="107">
        <f>商机统计!D4</f>
        <v>4882</v>
      </c>
      <c r="G54" s="105" t="str">
        <f>商机统计!F4</f>
        <v>黄淡妮</v>
      </c>
      <c r="H54" s="106">
        <f>商机统计!G4</f>
        <v>11</v>
      </c>
      <c r="I54" s="106">
        <f>商机统计!H4</f>
        <v>43.9</v>
      </c>
      <c r="J54" s="107">
        <f>商机统计!I4</f>
        <v>7393</v>
      </c>
    </row>
    <row r="55" spans="1:14">
      <c r="A55" s="108" t="str">
        <f>商机统计!A5</f>
        <v>张小敏</v>
      </c>
      <c r="B55" s="109">
        <f>商机统计!B5</f>
        <v>10</v>
      </c>
      <c r="C55" s="109">
        <f>商机统计!C5</f>
        <v>20</v>
      </c>
      <c r="D55" s="110">
        <f>商机统计!D5</f>
        <v>4375</v>
      </c>
      <c r="G55" s="108" t="str">
        <f>商机统计!F5</f>
        <v>潘观友</v>
      </c>
      <c r="H55" s="109">
        <f>商机统计!G5</f>
        <v>10</v>
      </c>
      <c r="I55" s="109">
        <f>商机统计!H5</f>
        <v>36.8</v>
      </c>
      <c r="J55" s="110">
        <f>商机统计!I5</f>
        <v>6317</v>
      </c>
    </row>
    <row r="56" ht="13.5" customHeight="1" spans="1:14">
      <c r="A56" s="111" t="str">
        <f>商机统计!A6</f>
        <v>潘观友</v>
      </c>
      <c r="B56" s="112">
        <f>商机统计!B6</f>
        <v>6</v>
      </c>
      <c r="C56" s="112">
        <f>商机统计!C6</f>
        <v>19.8</v>
      </c>
      <c r="D56" s="113">
        <f>商机统计!D6</f>
        <v>1400</v>
      </c>
      <c r="G56" s="111" t="str">
        <f>商机统计!F6</f>
        <v>张小敏</v>
      </c>
      <c r="H56" s="112">
        <f>商机统计!G6</f>
        <v>11</v>
      </c>
      <c r="I56" s="112">
        <f>商机统计!H6</f>
        <v>23</v>
      </c>
      <c r="J56" s="113">
        <f>商机统计!I6</f>
        <v>5575</v>
      </c>
    </row>
    <row r="57" spans="1:14">
      <c r="A57" s="108" t="str">
        <f>商机统计!A7</f>
        <v>李东</v>
      </c>
      <c r="B57" s="109">
        <f>商机统计!B7</f>
        <v>3</v>
      </c>
      <c r="C57" s="109">
        <f>商机统计!C7</f>
        <v>14</v>
      </c>
      <c r="D57" s="110">
        <f>商机统计!D7</f>
        <v>1329</v>
      </c>
      <c r="G57" s="108" t="str">
        <f>商机统计!F7</f>
        <v>具进康</v>
      </c>
      <c r="H57" s="109">
        <f>商机统计!G7</f>
        <v>10</v>
      </c>
      <c r="I57" s="109">
        <f>商机统计!H7</f>
        <v>22.5</v>
      </c>
      <c r="J57" s="110">
        <f>商机统计!I7</f>
        <v>5181</v>
      </c>
    </row>
    <row r="58" spans="1:14">
      <c r="A58" s="111" t="str">
        <f>商机统计!A8</f>
        <v>王锦添</v>
      </c>
      <c r="B58" s="112">
        <f>商机统计!B8</f>
        <v>4</v>
      </c>
      <c r="C58" s="112">
        <f>商机统计!C8</f>
        <v>12</v>
      </c>
      <c r="D58" s="113">
        <f>商机统计!D8</f>
        <v>2280</v>
      </c>
      <c r="G58" s="111" t="str">
        <f>商机统计!F8</f>
        <v>黄观霞</v>
      </c>
      <c r="H58" s="112">
        <f>商机统计!G8</f>
        <v>4</v>
      </c>
      <c r="I58" s="112">
        <f>商机统计!H8</f>
        <v>22</v>
      </c>
      <c r="J58" s="113">
        <f>商机统计!I8</f>
        <v>4216</v>
      </c>
    </row>
    <row r="59" spans="1:14">
      <c r="A59" s="108" t="str">
        <f>商机统计!A9</f>
        <v>李玉强</v>
      </c>
      <c r="B59" s="109">
        <f>商机统计!B9</f>
        <v>6</v>
      </c>
      <c r="C59" s="109">
        <f>商机统计!C9</f>
        <v>9.5</v>
      </c>
      <c r="D59" s="110">
        <f>商机统计!D9</f>
        <v>1184</v>
      </c>
      <c r="E59"/>
      <c r="F59"/>
      <c r="G59" s="108" t="str">
        <f>商机统计!F9</f>
        <v>李玉强</v>
      </c>
      <c r="H59" s="109">
        <f>商机统计!G9</f>
        <v>8</v>
      </c>
      <c r="I59" s="109">
        <f>商机统计!H9</f>
        <v>19.5</v>
      </c>
      <c r="J59" s="110">
        <f>商机统计!I9</f>
        <v>3820</v>
      </c>
      <c r="N59"/>
    </row>
    <row r="60" spans="1:14">
      <c r="A60" s="111" t="str">
        <f>商机统计!A10</f>
        <v>麦海芬</v>
      </c>
      <c r="B60" s="112">
        <f>商机统计!B10</f>
        <v>5</v>
      </c>
      <c r="C60" s="112">
        <f>商机统计!C10</f>
        <v>8.5</v>
      </c>
      <c r="D60" s="113">
        <f>商机统计!D10</f>
        <v>1498</v>
      </c>
      <c r="E60"/>
      <c r="F60"/>
      <c r="G60" s="111" t="str">
        <f>商机统计!F10</f>
        <v>伍颖敏</v>
      </c>
      <c r="H60" s="112">
        <f>商机统计!G10</f>
        <v>4</v>
      </c>
      <c r="I60" s="112">
        <f>商机统计!H10</f>
        <v>18.48</v>
      </c>
      <c r="J60" s="113">
        <f>商机统计!I10</f>
        <v>3675</v>
      </c>
      <c r="N60"/>
    </row>
    <row r="61" spans="1:14">
      <c r="A61" s="108" t="str">
        <f>商机统计!A11</f>
        <v>钟俊杰</v>
      </c>
      <c r="B61" s="109">
        <f>商机统计!B11</f>
        <v>1</v>
      </c>
      <c r="C61" s="109">
        <f>商机统计!C11</f>
        <v>1.5</v>
      </c>
      <c r="D61" s="110">
        <f>商机统计!D11</f>
        <v>199</v>
      </c>
      <c r="E61"/>
      <c r="F61"/>
      <c r="G61" s="108" t="str">
        <f>商机统计!F11</f>
        <v>王锦添</v>
      </c>
      <c r="H61" s="109">
        <f>商机统计!G11</f>
        <v>5</v>
      </c>
      <c r="I61" s="109">
        <f>商机统计!H11</f>
        <v>16</v>
      </c>
      <c r="J61" s="110">
        <f>商机统计!I11</f>
        <v>3080</v>
      </c>
      <c r="N61"/>
    </row>
    <row r="62" spans="1:14">
      <c r="A62" s="111" t="str">
        <f>商机统计!A12</f>
        <v>伍颖敏</v>
      </c>
      <c r="B62" s="112">
        <f>商机统计!B12</f>
        <v>1</v>
      </c>
      <c r="C62" s="112">
        <f>商机统计!C12</f>
        <v>1.5</v>
      </c>
      <c r="D62" s="113">
        <f>商机统计!D12</f>
        <v>280</v>
      </c>
      <c r="E62"/>
      <c r="F62"/>
      <c r="G62" s="111" t="str">
        <f>商机统计!F12</f>
        <v>李东</v>
      </c>
      <c r="H62" s="112">
        <f>商机统计!G12</f>
        <v>4</v>
      </c>
      <c r="I62" s="112">
        <f>商机统计!H12</f>
        <v>15</v>
      </c>
      <c r="J62" s="113">
        <f>商机统计!I12</f>
        <v>1529</v>
      </c>
      <c r="N62"/>
    </row>
    <row r="63" spans="1:14">
      <c r="A63" s="108" t="str">
        <f>商机统计!A13</f>
        <v>邱海燕</v>
      </c>
      <c r="B63" s="109">
        <f>商机统计!B13</f>
        <v>1</v>
      </c>
      <c r="C63" s="109">
        <f>商机统计!C13</f>
        <v>1</v>
      </c>
      <c r="D63" s="110">
        <f>商机统计!D13</f>
        <v>169</v>
      </c>
      <c r="E63"/>
      <c r="F63"/>
      <c r="G63" s="108" t="str">
        <f>商机统计!F13</f>
        <v>麦海芬</v>
      </c>
      <c r="H63" s="109">
        <f>商机统计!G13</f>
        <v>5</v>
      </c>
      <c r="I63" s="109">
        <f>商机统计!H13</f>
        <v>8.5</v>
      </c>
      <c r="J63" s="110">
        <f>商机统计!I13</f>
        <v>1498</v>
      </c>
      <c r="N63"/>
    </row>
    <row r="64" spans="1:14">
      <c r="A64" s="111" t="str">
        <f>商机统计!A14</f>
        <v>黄观霞</v>
      </c>
      <c r="B64" s="112">
        <f>商机统计!B14</f>
        <v>1</v>
      </c>
      <c r="C64" s="112">
        <f>商机统计!C14</f>
        <v>1</v>
      </c>
      <c r="D64" s="113">
        <f>商机统计!D14</f>
        <v>169</v>
      </c>
      <c r="E64"/>
      <c r="F64"/>
      <c r="G64" s="111" t="str">
        <f>商机统计!F14</f>
        <v>冯艺康</v>
      </c>
      <c r="H64" s="112">
        <f>商机统计!G14</f>
        <v>1</v>
      </c>
      <c r="I64" s="112">
        <f>商机统计!H14</f>
        <v>6</v>
      </c>
      <c r="J64" s="113">
        <f>商机统计!I14</f>
        <v>1200</v>
      </c>
      <c r="N64"/>
    </row>
    <row r="65" ht="13.5" customHeight="1" spans="1:14">
      <c r="A65" s="114" t="str">
        <f>商机统计!A15</f>
        <v>冯艺康</v>
      </c>
      <c r="B65" s="115">
        <f>商机统计!B15</f>
        <v>0</v>
      </c>
      <c r="C65" s="115">
        <f>商机统计!C15</f>
        <v>0</v>
      </c>
      <c r="D65" s="116">
        <f>商机统计!D15</f>
        <v>0</v>
      </c>
      <c r="E65"/>
      <c r="F65"/>
      <c r="G65" s="114" t="str">
        <f>商机统计!F15</f>
        <v>钟俊杰</v>
      </c>
      <c r="H65" s="115">
        <f>商机统计!G15</f>
        <v>1</v>
      </c>
      <c r="I65" s="115">
        <f>商机统计!H15</f>
        <v>1.5</v>
      </c>
      <c r="J65" s="116">
        <f>商机统计!I15</f>
        <v>199</v>
      </c>
      <c r="N65"/>
    </row>
    <row r="66" ht="13.5" customHeight="1" spans="1:14">
      <c r="A66" s="117" t="s">
        <v>61</v>
      </c>
      <c r="B66" s="117">
        <f>SUM(B52:B65)</f>
        <v>70</v>
      </c>
      <c r="C66" s="117">
        <f>SUM(C52:C65)</f>
        <v>197.7</v>
      </c>
      <c r="D66" s="117">
        <f>SUM(D52:D65)</f>
        <v>29748</v>
      </c>
      <c r="E66"/>
      <c r="F66"/>
      <c r="G66" s="117" t="s">
        <v>61</v>
      </c>
      <c r="H66" s="117">
        <f>SUM(H52:H65)</f>
        <v>96</v>
      </c>
      <c r="I66" s="117">
        <f>SUM(I52:I65)</f>
        <v>342.88</v>
      </c>
      <c r="J66" s="117">
        <f>SUM(J52:J65)</f>
        <v>56960</v>
      </c>
      <c r="N66"/>
    </row>
    <row r="67" spans="1:14">
      <c r="D67"/>
      <c r="E67"/>
      <c r="F67"/>
      <c r="G67"/>
      <c r="N67"/>
    </row>
    <row r="68" ht="13.5" customHeight="1" spans="1:14">
      <c r="D68"/>
      <c r="E68"/>
      <c r="F68"/>
      <c r="G68"/>
      <c r="N68"/>
    </row>
    <row r="69" ht="52" customHeight="1" spans="1:14">
      <c r="D69"/>
      <c r="E69"/>
      <c r="F69"/>
      <c r="G69"/>
      <c r="I69"/>
      <c r="J69"/>
      <c r="N69"/>
    </row>
    <row r="70" ht="13.5" customHeight="1" spans="1:14">
      <c r="D70"/>
      <c r="E70"/>
      <c r="F70"/>
      <c r="G70"/>
      <c r="I70"/>
      <c r="J70"/>
      <c r="N70"/>
    </row>
    <row r="71" spans="1:14">
      <c r="D71"/>
      <c r="E71"/>
      <c r="F71"/>
      <c r="G71"/>
      <c r="I71"/>
      <c r="J71"/>
      <c r="N71"/>
    </row>
    <row r="72" spans="1:14">
      <c r="D72"/>
      <c r="E72"/>
      <c r="F72"/>
      <c r="G72"/>
      <c r="I72"/>
      <c r="J72"/>
      <c r="N72"/>
    </row>
    <row r="73" spans="1:14">
      <c r="D73"/>
      <c r="E73"/>
      <c r="F73"/>
      <c r="G73"/>
      <c r="I73"/>
      <c r="J73"/>
      <c r="N73"/>
    </row>
    <row r="74" spans="1:14">
      <c r="D74"/>
      <c r="E74"/>
      <c r="F74"/>
      <c r="G74"/>
      <c r="I74"/>
      <c r="J74"/>
      <c r="N74"/>
    </row>
    <row r="75" ht="13.5" customHeight="1" spans="1:14">
      <c r="D75"/>
      <c r="E75"/>
      <c r="F75"/>
      <c r="G75"/>
      <c r="I75"/>
      <c r="J75"/>
      <c r="N75"/>
    </row>
    <row r="76" spans="1:14">
      <c r="D76"/>
      <c r="E76"/>
      <c r="F76"/>
      <c r="G76"/>
      <c r="I76"/>
      <c r="J76"/>
      <c r="N76"/>
    </row>
    <row r="77" spans="1:14">
      <c r="D77"/>
      <c r="E77"/>
      <c r="F77"/>
      <c r="G77"/>
      <c r="I77"/>
      <c r="J77"/>
      <c r="N77"/>
    </row>
    <row r="78" spans="1:14">
      <c r="D78"/>
      <c r="E78"/>
      <c r="F78"/>
      <c r="G78"/>
      <c r="I78"/>
      <c r="J78"/>
      <c r="N78"/>
    </row>
    <row r="79" spans="1:14">
      <c r="D79"/>
      <c r="E79"/>
      <c r="F79"/>
      <c r="G79"/>
      <c r="I79"/>
      <c r="J79"/>
      <c r="N79"/>
    </row>
    <row r="80" spans="1:14">
      <c r="D80"/>
      <c r="E80"/>
      <c r="F80"/>
      <c r="G80"/>
      <c r="I80"/>
      <c r="J80"/>
      <c r="N80"/>
    </row>
    <row r="81" ht="13.5" customHeight="1" spans="4:14">
      <c r="D81"/>
      <c r="E81"/>
      <c r="F81"/>
      <c r="G81"/>
      <c r="I81"/>
      <c r="J81"/>
      <c r="N81"/>
    </row>
    <row r="82" spans="4:14">
      <c r="D82"/>
      <c r="E82"/>
      <c r="F82"/>
      <c r="G82"/>
      <c r="I82"/>
      <c r="J82"/>
      <c r="N82"/>
    </row>
    <row r="83" spans="4:14">
      <c r="D83"/>
      <c r="E83"/>
      <c r="F83"/>
      <c r="G83"/>
      <c r="I83"/>
      <c r="J83"/>
      <c r="N83"/>
    </row>
    <row r="84" ht="13.5" customHeight="1" spans="4:14">
      <c r="D84"/>
      <c r="E84"/>
      <c r="F84"/>
      <c r="G84"/>
      <c r="I84"/>
      <c r="J84"/>
      <c r="N84"/>
    </row>
    <row r="85" ht="52" customHeight="1" spans="4:14">
      <c r="D85"/>
      <c r="E85"/>
      <c r="F85"/>
      <c r="G85"/>
      <c r="I85"/>
      <c r="J85"/>
      <c r="N85"/>
    </row>
    <row r="86" ht="13.5" customHeight="1" spans="4:14">
      <c r="D86"/>
      <c r="E86"/>
      <c r="F86"/>
      <c r="G86"/>
      <c r="I86"/>
      <c r="J86"/>
      <c r="N86"/>
    </row>
    <row r="87" spans="4:14">
      <c r="D87"/>
      <c r="E87"/>
      <c r="F87"/>
      <c r="G87"/>
      <c r="I87"/>
      <c r="J87"/>
      <c r="N87"/>
    </row>
    <row r="88" spans="4:14">
      <c r="D88"/>
      <c r="E88"/>
      <c r="F88"/>
      <c r="G88"/>
      <c r="I88"/>
      <c r="J88"/>
      <c r="N88"/>
    </row>
    <row r="89" spans="4:14">
      <c r="D89"/>
      <c r="E89"/>
      <c r="F89"/>
      <c r="G89"/>
      <c r="I89"/>
      <c r="J89"/>
      <c r="N89"/>
    </row>
    <row r="90" spans="4:14">
      <c r="D90"/>
      <c r="E90"/>
      <c r="F90"/>
      <c r="G90"/>
      <c r="I90"/>
      <c r="J90"/>
      <c r="N90"/>
    </row>
    <row r="91" ht="13.5" customHeight="1" spans="4:14">
      <c r="D91"/>
      <c r="E91"/>
      <c r="F91"/>
      <c r="G91"/>
      <c r="I91"/>
      <c r="J91"/>
      <c r="N91"/>
    </row>
    <row r="92" spans="4:14">
      <c r="D92"/>
      <c r="E92"/>
      <c r="F92"/>
      <c r="G92"/>
      <c r="I92"/>
      <c r="J92"/>
      <c r="N92"/>
    </row>
    <row r="93" spans="4:14">
      <c r="D93"/>
      <c r="E93"/>
      <c r="F93"/>
      <c r="G93"/>
      <c r="I93"/>
      <c r="J93"/>
      <c r="N93"/>
    </row>
    <row r="94" ht="13.5" customHeight="1" spans="4:14">
      <c r="D94"/>
      <c r="E94"/>
      <c r="F94"/>
      <c r="G94"/>
      <c r="I94"/>
      <c r="J94"/>
      <c r="N94"/>
    </row>
    <row r="95" ht="13.5" customHeight="1" spans="4:14">
      <c r="D95"/>
      <c r="E95"/>
      <c r="F95"/>
      <c r="G95"/>
      <c r="I95"/>
      <c r="J95"/>
      <c r="N95"/>
    </row>
    <row r="96" spans="4:14">
      <c r="D96"/>
      <c r="E96"/>
      <c r="F96"/>
      <c r="G96"/>
      <c r="I96"/>
      <c r="J96"/>
      <c r="N96"/>
    </row>
    <row r="97" spans="4:14">
      <c r="D97"/>
      <c r="E97"/>
      <c r="F97"/>
      <c r="G97"/>
      <c r="I97"/>
      <c r="J97"/>
      <c r="N97"/>
    </row>
    <row r="98" ht="13.5" customHeight="1" spans="4:14">
      <c r="D98"/>
      <c r="E98"/>
      <c r="F98"/>
      <c r="G98"/>
      <c r="I98"/>
      <c r="J98"/>
      <c r="N98"/>
    </row>
    <row r="99" ht="52" customHeight="1" spans="4:14">
      <c r="D99"/>
      <c r="E99"/>
      <c r="F99"/>
      <c r="G99"/>
      <c r="I99"/>
      <c r="J99"/>
      <c r="N99"/>
    </row>
    <row r="100" ht="13.5" customHeight="1" spans="4:14">
      <c r="D100"/>
      <c r="E100"/>
      <c r="F100"/>
      <c r="G100"/>
      <c r="I100"/>
      <c r="J100"/>
      <c r="N100"/>
    </row>
    <row r="101" spans="4:14">
      <c r="D101"/>
      <c r="E101"/>
      <c r="F101"/>
      <c r="G101"/>
      <c r="I101"/>
      <c r="J101"/>
      <c r="N101"/>
    </row>
    <row r="102" spans="4:14">
      <c r="D102"/>
      <c r="E102"/>
      <c r="F102"/>
      <c r="G102"/>
      <c r="I102"/>
      <c r="J102"/>
      <c r="N102"/>
    </row>
    <row r="103" spans="4:14">
      <c r="D103"/>
      <c r="E103"/>
      <c r="F103"/>
      <c r="G103"/>
      <c r="I103"/>
      <c r="J103"/>
      <c r="N103"/>
    </row>
    <row r="104" spans="4:14">
      <c r="D104"/>
      <c r="E104"/>
      <c r="F104"/>
      <c r="G104"/>
      <c r="I104"/>
      <c r="J104"/>
      <c r="N104"/>
    </row>
  </sheetData>
  <mergeCells count="31">
    <mergeCell ref="B1:Q1"/>
    <mergeCell ref="B2:H2"/>
    <mergeCell ref="I2:N2"/>
    <mergeCell ref="O2:Q2"/>
    <mergeCell ref="A30:B30"/>
    <mergeCell ref="A33:F33"/>
    <mergeCell ref="I33:M33"/>
    <mergeCell ref="A43:B43"/>
    <mergeCell ref="A49:D49"/>
    <mergeCell ref="G49:J49"/>
    <mergeCell ref="A50:D50"/>
    <mergeCell ref="G50:J50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I35:I38"/>
    <mergeCell ref="I39:I46"/>
    <mergeCell ref="J20:J21"/>
    <mergeCell ref="K20:K21"/>
    <mergeCell ref="L20:L21"/>
    <mergeCell ref="M20:M21"/>
    <mergeCell ref="A20:B21"/>
  </mergeCells>
  <conditionalFormatting sqref="F20">
    <cfRule type="cellIs" dxfId="6" priority="5" operator="equal">
      <formula>"是"</formula>
    </cfRule>
  </conditionalFormatting>
  <conditionalFormatting sqref="H1:H20">
    <cfRule type="cellIs" dxfId="6" priority="6" operator="equal">
      <formula>"是"</formula>
    </cfRule>
  </conditionalFormatting>
  <conditionalFormatting sqref="H105:H1048576">
    <cfRule type="cellIs" dxfId="6" priority="8" operator="equal">
      <formula>"是"</formula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67</v>
      </c>
    </row>
    <row r="2" spans="1:2">
      <c r="A2" t="s">
        <v>20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0</v>
      </c>
    </row>
    <row r="5" spans="1:2">
      <c r="A5" t="s">
        <v>23</v>
      </c>
      <c r="B5">
        <v>0</v>
      </c>
    </row>
    <row r="6" spans="1:2">
      <c r="A6" t="s">
        <v>24</v>
      </c>
      <c r="B6">
        <v>1</v>
      </c>
    </row>
    <row r="7" spans="1:2">
      <c r="A7" t="s">
        <v>25</v>
      </c>
      <c r="B7">
        <v>0</v>
      </c>
    </row>
    <row r="8" spans="1:2">
      <c r="A8" t="s">
        <v>26</v>
      </c>
      <c r="B8">
        <v>0</v>
      </c>
    </row>
    <row r="9" spans="1:2">
      <c r="A9" t="s">
        <v>29</v>
      </c>
      <c r="B9">
        <v>0</v>
      </c>
    </row>
    <row r="10" spans="1:2">
      <c r="A10" t="s">
        <v>30</v>
      </c>
      <c r="B10">
        <v>4.73</v>
      </c>
    </row>
    <row r="11" spans="1:2">
      <c r="A11" t="s">
        <v>31</v>
      </c>
      <c r="B11">
        <v>2</v>
      </c>
    </row>
    <row r="12" spans="1:2">
      <c r="A12" t="s">
        <v>32</v>
      </c>
      <c r="B12">
        <v>5</v>
      </c>
    </row>
    <row r="13" spans="1:2">
      <c r="A13" t="s">
        <v>33</v>
      </c>
      <c r="B13">
        <v>7.5</v>
      </c>
    </row>
    <row r="14" spans="1:2">
      <c r="A14" t="s">
        <v>34</v>
      </c>
      <c r="B14">
        <v>3</v>
      </c>
    </row>
    <row r="15" spans="1:2">
      <c r="A15" t="s">
        <v>35</v>
      </c>
      <c r="B15">
        <v>1.5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17</v>
      </c>
    </row>
    <row r="2" spans="1:2">
      <c r="A2" t="s">
        <v>20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0</v>
      </c>
    </row>
    <row r="5" spans="1:2">
      <c r="A5" t="s">
        <v>23</v>
      </c>
      <c r="B5">
        <v>0</v>
      </c>
    </row>
    <row r="6" spans="1:2">
      <c r="A6" t="s">
        <v>24</v>
      </c>
      <c r="B6">
        <v>0</v>
      </c>
    </row>
    <row r="7" spans="1:2">
      <c r="A7" t="s">
        <v>25</v>
      </c>
      <c r="B7">
        <v>0</v>
      </c>
    </row>
    <row r="8" spans="1:2">
      <c r="A8" t="s">
        <v>26</v>
      </c>
      <c r="B8">
        <v>0</v>
      </c>
    </row>
    <row r="9" spans="1:2">
      <c r="A9" t="s">
        <v>29</v>
      </c>
      <c r="B9">
        <v>0</v>
      </c>
    </row>
    <row r="10" spans="1:2">
      <c r="A10" t="s">
        <v>30</v>
      </c>
      <c r="B10">
        <v>0</v>
      </c>
    </row>
    <row r="11" spans="1:2">
      <c r="A11" t="s">
        <v>31</v>
      </c>
      <c r="B11">
        <v>3</v>
      </c>
    </row>
    <row r="12" spans="1:2">
      <c r="A12" t="s">
        <v>32</v>
      </c>
      <c r="B12">
        <v>5</v>
      </c>
    </row>
    <row r="13" spans="1:2">
      <c r="A13" t="s">
        <v>33</v>
      </c>
      <c r="B13">
        <v>6</v>
      </c>
    </row>
    <row r="14" spans="1:2">
      <c r="A14" t="s">
        <v>34</v>
      </c>
      <c r="B14">
        <v>0</v>
      </c>
    </row>
    <row r="15" spans="1:2">
      <c r="A15" t="s">
        <v>35</v>
      </c>
      <c r="B15">
        <v>6</v>
      </c>
    </row>
    <row r="16" spans="1:2">
      <c r="A16" t="s">
        <v>38</v>
      </c>
      <c r="B16">
        <v>40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C6" sqref="C6"/>
    </sheetView>
  </sheetViews>
  <sheetFormatPr defaultColWidth="9" defaultRowHeight="14" outlineLevelCol="3"/>
  <sheetData>
    <row r="1" spans="1:4">
      <c r="A1" s="1" t="s">
        <v>51</v>
      </c>
      <c r="B1" s="1" t="s">
        <v>1</v>
      </c>
      <c r="C1" s="1" t="s">
        <v>12</v>
      </c>
      <c r="D1" s="1" t="s">
        <v>68</v>
      </c>
    </row>
    <row r="2" spans="1:4">
      <c r="A2" t="s">
        <v>20</v>
      </c>
      <c r="B2">
        <v>0</v>
      </c>
      <c r="C2">
        <v>0</v>
      </c>
      <c r="D2">
        <v>0</v>
      </c>
    </row>
    <row r="3" spans="1:4">
      <c r="A3" t="s">
        <v>21</v>
      </c>
      <c r="B3">
        <v>1.5</v>
      </c>
      <c r="C3">
        <v>81.93</v>
      </c>
      <c r="D3">
        <v>0</v>
      </c>
    </row>
    <row r="4" spans="1:4">
      <c r="A4" t="s">
        <v>22</v>
      </c>
      <c r="B4">
        <v>2</v>
      </c>
      <c r="C4">
        <v>282</v>
      </c>
      <c r="D4">
        <v>116</v>
      </c>
    </row>
    <row r="5" spans="1:4">
      <c r="A5" t="s">
        <v>23</v>
      </c>
      <c r="B5">
        <v>0</v>
      </c>
      <c r="C5">
        <v>-1</v>
      </c>
      <c r="D5">
        <v>-11</v>
      </c>
    </row>
    <row r="6" spans="1:4">
      <c r="A6" t="s">
        <v>24</v>
      </c>
      <c r="B6">
        <v>1</v>
      </c>
      <c r="C6">
        <v>479</v>
      </c>
      <c r="D6">
        <v>0</v>
      </c>
    </row>
    <row r="7" spans="1:4">
      <c r="A7" t="s">
        <v>25</v>
      </c>
      <c r="B7">
        <v>5</v>
      </c>
      <c r="C7">
        <v>1010</v>
      </c>
      <c r="D7">
        <v>1000</v>
      </c>
    </row>
    <row r="8" spans="1:4">
      <c r="A8" t="s">
        <v>26</v>
      </c>
      <c r="B8">
        <v>0.5</v>
      </c>
      <c r="C8">
        <v>49</v>
      </c>
      <c r="D8">
        <v>19</v>
      </c>
    </row>
    <row r="9" spans="1:4">
      <c r="A9" t="s">
        <v>29</v>
      </c>
      <c r="B9">
        <v>0</v>
      </c>
      <c r="C9">
        <v>0</v>
      </c>
      <c r="D9">
        <v>0</v>
      </c>
    </row>
    <row r="10" spans="1:4">
      <c r="A10" t="s">
        <v>30</v>
      </c>
      <c r="B10">
        <v>4.73</v>
      </c>
      <c r="C10">
        <v>806.2</v>
      </c>
      <c r="D10">
        <v>746.2</v>
      </c>
    </row>
    <row r="11" spans="1:4">
      <c r="A11" t="s">
        <v>31</v>
      </c>
      <c r="B11">
        <v>4.5</v>
      </c>
      <c r="C11">
        <v>799</v>
      </c>
      <c r="D11">
        <v>789</v>
      </c>
    </row>
    <row r="12" spans="1:4">
      <c r="A12" t="s">
        <v>32</v>
      </c>
      <c r="B12">
        <v>9</v>
      </c>
      <c r="C12">
        <v>2583</v>
      </c>
      <c r="D12">
        <v>2234</v>
      </c>
    </row>
    <row r="13" spans="1:4">
      <c r="A13" t="s">
        <v>33</v>
      </c>
      <c r="B13">
        <v>7.5</v>
      </c>
      <c r="C13">
        <v>741.16</v>
      </c>
      <c r="D13">
        <v>399</v>
      </c>
    </row>
    <row r="14" spans="1:4">
      <c r="A14" t="s">
        <v>34</v>
      </c>
      <c r="B14">
        <v>3</v>
      </c>
      <c r="C14">
        <v>216</v>
      </c>
      <c r="D14">
        <v>0</v>
      </c>
    </row>
    <row r="15" spans="1:4">
      <c r="A15" t="s">
        <v>35</v>
      </c>
      <c r="B15">
        <v>1.5</v>
      </c>
      <c r="C15">
        <v>-552.05</v>
      </c>
      <c r="D15">
        <v>45</v>
      </c>
    </row>
    <row r="16" spans="1:4">
      <c r="A16" t="s">
        <v>40</v>
      </c>
      <c r="B16">
        <v>0</v>
      </c>
      <c r="C16">
        <v>0</v>
      </c>
      <c r="D16">
        <v>0</v>
      </c>
    </row>
    <row r="17" spans="1:4">
      <c r="A17" t="s">
        <v>42</v>
      </c>
      <c r="B17">
        <v>0</v>
      </c>
      <c r="C17">
        <v>0</v>
      </c>
      <c r="D17">
        <v>0</v>
      </c>
    </row>
    <row r="18" spans="1:4">
      <c r="A18" t="s">
        <v>43</v>
      </c>
      <c r="B18">
        <v>0</v>
      </c>
      <c r="C18">
        <v>0</v>
      </c>
      <c r="D18">
        <v>0</v>
      </c>
    </row>
    <row r="19" spans="1:4">
      <c r="A19" t="s">
        <v>44</v>
      </c>
      <c r="B19">
        <v>0</v>
      </c>
      <c r="C19">
        <v>0</v>
      </c>
      <c r="D19">
        <v>0</v>
      </c>
    </row>
    <row r="20" spans="1:4">
      <c r="A20" t="s">
        <v>45</v>
      </c>
      <c r="B20">
        <v>0</v>
      </c>
      <c r="C20">
        <v>0</v>
      </c>
      <c r="D20">
        <v>0</v>
      </c>
    </row>
    <row r="21" spans="1:4">
      <c r="A21" t="s">
        <v>46</v>
      </c>
      <c r="B21">
        <v>1.5</v>
      </c>
      <c r="C21">
        <v>239</v>
      </c>
      <c r="D21">
        <v>239</v>
      </c>
    </row>
    <row r="22" spans="1:4">
      <c r="A22" t="s">
        <v>47</v>
      </c>
      <c r="B22">
        <v>0</v>
      </c>
      <c r="C22">
        <v>0</v>
      </c>
      <c r="D22">
        <v>0</v>
      </c>
    </row>
    <row r="23" spans="1:4">
      <c r="A23" t="s">
        <v>48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1" t="s">
        <v>51</v>
      </c>
      <c r="B1" s="1" t="s">
        <v>67</v>
      </c>
      <c r="C1" t="s">
        <v>52</v>
      </c>
    </row>
    <row r="2" spans="1:3">
      <c r="A2" t="s">
        <v>40</v>
      </c>
      <c r="B2">
        <v>0</v>
      </c>
      <c r="C2">
        <v>1</v>
      </c>
    </row>
    <row r="3" spans="1:3">
      <c r="A3" t="s">
        <v>42</v>
      </c>
      <c r="B3">
        <v>0</v>
      </c>
      <c r="C3">
        <v>1</v>
      </c>
    </row>
    <row r="4" spans="1:3">
      <c r="A4" t="s">
        <v>43</v>
      </c>
      <c r="B4">
        <v>0</v>
      </c>
      <c r="C4">
        <v>1</v>
      </c>
    </row>
    <row r="5" spans="1:3">
      <c r="A5" t="s">
        <v>44</v>
      </c>
      <c r="B5">
        <v>0</v>
      </c>
      <c r="C5">
        <v>1</v>
      </c>
    </row>
    <row r="6" spans="1:3">
      <c r="A6" t="s">
        <v>45</v>
      </c>
      <c r="B6">
        <v>0</v>
      </c>
      <c r="C6">
        <v>1</v>
      </c>
    </row>
    <row r="7" spans="1:3">
      <c r="A7" t="s">
        <v>46</v>
      </c>
      <c r="B7">
        <v>1.5</v>
      </c>
      <c r="C7">
        <v>1</v>
      </c>
    </row>
    <row r="8" spans="1:3">
      <c r="A8" t="s">
        <v>47</v>
      </c>
      <c r="B8">
        <v>0</v>
      </c>
      <c r="C8">
        <v>1</v>
      </c>
    </row>
    <row r="9" spans="1:3">
      <c r="A9" t="s">
        <v>48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67</v>
      </c>
    </row>
    <row r="2" spans="1:2">
      <c r="A2" t="s">
        <v>20</v>
      </c>
      <c r="B2">
        <v>0</v>
      </c>
    </row>
    <row r="3" spans="1:2">
      <c r="A3" t="s">
        <v>21</v>
      </c>
      <c r="B3">
        <v>1.5</v>
      </c>
    </row>
    <row r="4" spans="1:2">
      <c r="A4" t="s">
        <v>22</v>
      </c>
      <c r="B4">
        <v>2</v>
      </c>
    </row>
    <row r="5" spans="1:2">
      <c r="A5" t="s">
        <v>23</v>
      </c>
      <c r="B5">
        <v>0</v>
      </c>
    </row>
    <row r="6" spans="1:2">
      <c r="A6" t="s">
        <v>24</v>
      </c>
      <c r="B6">
        <v>1</v>
      </c>
    </row>
    <row r="7" spans="1:2">
      <c r="A7" t="s">
        <v>25</v>
      </c>
      <c r="B7">
        <v>5</v>
      </c>
    </row>
    <row r="8" spans="1:2">
      <c r="A8" t="s">
        <v>26</v>
      </c>
      <c r="B8">
        <v>0.5</v>
      </c>
    </row>
    <row r="9" spans="1:2">
      <c r="A9" t="s">
        <v>29</v>
      </c>
      <c r="B9">
        <v>0</v>
      </c>
    </row>
    <row r="10" spans="1:2">
      <c r="A10" t="s">
        <v>30</v>
      </c>
      <c r="B10">
        <v>4.73</v>
      </c>
    </row>
    <row r="11" spans="1:2">
      <c r="A11" t="s">
        <v>31</v>
      </c>
      <c r="B11">
        <v>4.5</v>
      </c>
    </row>
    <row r="12" spans="1:2">
      <c r="A12" t="s">
        <v>32</v>
      </c>
      <c r="B12">
        <v>9</v>
      </c>
    </row>
    <row r="13" spans="1:2">
      <c r="A13" t="s">
        <v>33</v>
      </c>
      <c r="B13">
        <v>7.5</v>
      </c>
    </row>
    <row r="14" spans="1:2">
      <c r="A14" t="s">
        <v>34</v>
      </c>
      <c r="B14">
        <v>3</v>
      </c>
    </row>
    <row r="15" spans="1:2">
      <c r="A15" t="s">
        <v>35</v>
      </c>
      <c r="B15">
        <v>1.5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8" t="s">
        <v>4</v>
      </c>
      <c r="B1" s="9" t="s">
        <v>64</v>
      </c>
      <c r="C1" s="9" t="s">
        <v>65</v>
      </c>
      <c r="D1" s="10" t="s">
        <v>66</v>
      </c>
      <c r="F1" s="8" t="s">
        <v>4</v>
      </c>
      <c r="G1" s="9" t="s">
        <v>64</v>
      </c>
      <c r="H1" s="9" t="s">
        <v>65</v>
      </c>
      <c r="I1" s="10" t="s">
        <v>66</v>
      </c>
    </row>
    <row r="2" spans="1:9">
      <c r="A2" t="s">
        <v>30</v>
      </c>
      <c r="B2">
        <v>14</v>
      </c>
      <c r="C2">
        <v>47.5</v>
      </c>
      <c r="D2">
        <v>5190</v>
      </c>
      <c r="F2" t="s">
        <v>30</v>
      </c>
      <c r="G2">
        <v>17</v>
      </c>
      <c r="H2">
        <v>60.5</v>
      </c>
      <c r="I2">
        <v>6798</v>
      </c>
    </row>
    <row r="3" spans="1:9">
      <c r="A3" t="s">
        <v>22</v>
      </c>
      <c r="B3">
        <v>10</v>
      </c>
      <c r="C3">
        <v>40.9</v>
      </c>
      <c r="D3">
        <v>6793</v>
      </c>
      <c r="F3" t="s">
        <v>23</v>
      </c>
      <c r="G3">
        <v>5</v>
      </c>
      <c r="H3">
        <v>49.2</v>
      </c>
      <c r="I3">
        <v>6479</v>
      </c>
    </row>
    <row r="4" spans="1:9">
      <c r="A4" t="s">
        <v>35</v>
      </c>
      <c r="B4">
        <v>8</v>
      </c>
      <c r="C4">
        <v>20.5</v>
      </c>
      <c r="D4">
        <v>4882</v>
      </c>
      <c r="F4" t="s">
        <v>22</v>
      </c>
      <c r="G4">
        <v>11</v>
      </c>
      <c r="H4">
        <v>43.9</v>
      </c>
      <c r="I4">
        <v>7393</v>
      </c>
    </row>
    <row r="5" spans="1:9">
      <c r="A5" t="s">
        <v>34</v>
      </c>
      <c r="B5">
        <v>10</v>
      </c>
      <c r="C5">
        <v>20</v>
      </c>
      <c r="D5">
        <v>4375</v>
      </c>
      <c r="F5" t="s">
        <v>32</v>
      </c>
      <c r="G5">
        <v>10</v>
      </c>
      <c r="H5">
        <v>36.8</v>
      </c>
      <c r="I5">
        <v>6317</v>
      </c>
    </row>
    <row r="6" spans="1:9">
      <c r="A6" t="s">
        <v>32</v>
      </c>
      <c r="B6">
        <v>6</v>
      </c>
      <c r="C6">
        <v>19.8</v>
      </c>
      <c r="D6">
        <v>1400</v>
      </c>
      <c r="F6" t="s">
        <v>34</v>
      </c>
      <c r="G6">
        <v>11</v>
      </c>
      <c r="H6">
        <v>23</v>
      </c>
      <c r="I6">
        <v>5575</v>
      </c>
    </row>
    <row r="7" spans="1:9">
      <c r="A7" t="s">
        <v>24</v>
      </c>
      <c r="B7">
        <v>3</v>
      </c>
      <c r="C7">
        <v>14</v>
      </c>
      <c r="D7">
        <v>1329</v>
      </c>
      <c r="F7" t="s">
        <v>35</v>
      </c>
      <c r="G7">
        <v>10</v>
      </c>
      <c r="H7">
        <v>22.5</v>
      </c>
      <c r="I7">
        <v>5181</v>
      </c>
    </row>
    <row r="8" spans="1:9">
      <c r="A8" t="s">
        <v>25</v>
      </c>
      <c r="B8">
        <v>4</v>
      </c>
      <c r="C8">
        <v>12</v>
      </c>
      <c r="D8">
        <v>2280</v>
      </c>
      <c r="F8" t="s">
        <v>26</v>
      </c>
      <c r="G8">
        <v>4</v>
      </c>
      <c r="H8">
        <v>22</v>
      </c>
      <c r="I8">
        <v>4216</v>
      </c>
    </row>
    <row r="9" spans="1:9">
      <c r="A9" t="s">
        <v>33</v>
      </c>
      <c r="B9">
        <v>6</v>
      </c>
      <c r="C9">
        <v>9.5</v>
      </c>
      <c r="D9">
        <v>1184</v>
      </c>
      <c r="F9" t="s">
        <v>33</v>
      </c>
      <c r="G9">
        <v>8</v>
      </c>
      <c r="H9">
        <v>19.5</v>
      </c>
      <c r="I9">
        <v>3820</v>
      </c>
    </row>
    <row r="10" spans="1:9">
      <c r="A10" t="s">
        <v>21</v>
      </c>
      <c r="B10">
        <v>5</v>
      </c>
      <c r="C10">
        <v>8.5</v>
      </c>
      <c r="D10">
        <v>1498</v>
      </c>
      <c r="F10" t="s">
        <v>31</v>
      </c>
      <c r="G10">
        <v>4</v>
      </c>
      <c r="H10">
        <v>18.48</v>
      </c>
      <c r="I10">
        <v>3675</v>
      </c>
    </row>
    <row r="11" spans="1:9">
      <c r="A11" t="s">
        <v>20</v>
      </c>
      <c r="B11">
        <v>1</v>
      </c>
      <c r="C11">
        <v>1.5</v>
      </c>
      <c r="D11">
        <v>199</v>
      </c>
      <c r="F11" t="s">
        <v>25</v>
      </c>
      <c r="G11">
        <v>5</v>
      </c>
      <c r="H11">
        <v>16</v>
      </c>
      <c r="I11">
        <v>3080</v>
      </c>
    </row>
    <row r="12" spans="1:9">
      <c r="A12" t="s">
        <v>31</v>
      </c>
      <c r="B12">
        <v>1</v>
      </c>
      <c r="C12">
        <v>1.5</v>
      </c>
      <c r="D12">
        <v>280</v>
      </c>
      <c r="F12" t="s">
        <v>24</v>
      </c>
      <c r="G12">
        <v>4</v>
      </c>
      <c r="H12">
        <v>15</v>
      </c>
      <c r="I12">
        <v>1529</v>
      </c>
    </row>
    <row r="13" spans="1:9">
      <c r="A13" t="s">
        <v>23</v>
      </c>
      <c r="B13">
        <v>1</v>
      </c>
      <c r="C13">
        <v>1</v>
      </c>
      <c r="D13">
        <v>169</v>
      </c>
      <c r="F13" t="s">
        <v>21</v>
      </c>
      <c r="G13">
        <v>5</v>
      </c>
      <c r="H13">
        <v>8.5</v>
      </c>
      <c r="I13">
        <v>1498</v>
      </c>
    </row>
    <row r="14" spans="1:9">
      <c r="A14" t="s">
        <v>26</v>
      </c>
      <c r="B14">
        <v>1</v>
      </c>
      <c r="C14">
        <v>1</v>
      </c>
      <c r="D14">
        <v>169</v>
      </c>
      <c r="F14" t="s">
        <v>29</v>
      </c>
      <c r="G14">
        <v>1</v>
      </c>
      <c r="H14">
        <v>6</v>
      </c>
      <c r="I14">
        <v>1200</v>
      </c>
    </row>
    <row r="15" spans="1:9">
      <c r="A15" t="s">
        <v>29</v>
      </c>
      <c r="B15">
        <v>0</v>
      </c>
      <c r="C15">
        <v>0</v>
      </c>
      <c r="D15">
        <v>0</v>
      </c>
      <c r="F15" t="s">
        <v>20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C4" sqref="C4"/>
    </sheetView>
  </sheetViews>
  <sheetFormatPr defaultColWidth="8.72727272727273" defaultRowHeight="14"/>
  <sheetData>
    <row r="1" ht="14.75" customHeight="1" spans="1:13">
      <c r="A1" t="s">
        <v>50</v>
      </c>
      <c r="B1" t="s">
        <v>51</v>
      </c>
      <c r="C1" t="s">
        <v>16</v>
      </c>
      <c r="D1" t="s">
        <v>17</v>
      </c>
      <c r="E1" t="s">
        <v>18</v>
      </c>
      <c r="J1" s="2" t="s">
        <v>69</v>
      </c>
      <c r="K1" s="2" t="s">
        <v>70</v>
      </c>
      <c r="L1" s="3" t="s">
        <v>71</v>
      </c>
      <c r="M1" s="4" t="s">
        <v>72</v>
      </c>
    </row>
    <row r="2" ht="14.75" customHeight="1" spans="1:13">
      <c r="A2" t="s">
        <v>56</v>
      </c>
      <c r="B2" s="5" t="s">
        <v>57</v>
      </c>
      <c r="C2">
        <v>84</v>
      </c>
      <c r="D2">
        <f t="array" ref="D2">SUMPRODUCT(SUMIF(全光组网!A:A,$J$2:$J$16,全光组网!B:B)*($M$2:$M$16=B2))</f>
        <v>3</v>
      </c>
      <c r="E2" s="6">
        <f t="shared" ref="E2:E13" si="0">D2/C2</f>
        <v>0.0357142857142857</v>
      </c>
      <c r="J2" s="2" t="s">
        <v>32</v>
      </c>
      <c r="K2" s="2" t="s">
        <v>40</v>
      </c>
      <c r="L2" s="2" t="s">
        <v>73</v>
      </c>
      <c r="M2" s="7" t="s">
        <v>58</v>
      </c>
    </row>
    <row r="3" ht="14.75" customHeight="1" spans="1:13">
      <c r="A3" t="s">
        <v>56</v>
      </c>
      <c r="B3" s="5" t="s">
        <v>58</v>
      </c>
      <c r="C3">
        <v>84</v>
      </c>
      <c r="D3">
        <f t="array" ref="D3">SUMPRODUCT(SUMIF(全光组网!A:A,$J$2:$J$16,全光组网!B:B)*($M$2:$M$16=B3))</f>
        <v>5</v>
      </c>
      <c r="E3" s="6">
        <f t="shared" si="0"/>
        <v>0.0595238095238095</v>
      </c>
      <c r="J3" s="7" t="s">
        <v>26</v>
      </c>
      <c r="K3" s="7" t="s">
        <v>40</v>
      </c>
      <c r="L3" s="7" t="s">
        <v>73</v>
      </c>
      <c r="M3" s="7" t="s">
        <v>58</v>
      </c>
    </row>
    <row r="4" ht="14.75" customHeight="1" spans="1:13">
      <c r="A4" t="s">
        <v>56</v>
      </c>
      <c r="B4" s="5" t="s">
        <v>59</v>
      </c>
      <c r="C4">
        <v>84</v>
      </c>
      <c r="D4">
        <f t="array" ref="D4">SUMPRODUCT(SUMIF(全光组网!A:A,$J$2:$J$16,全光组网!B:B)*($M$2:$M$16=B4))</f>
        <v>6</v>
      </c>
      <c r="E4" s="6">
        <f t="shared" si="0"/>
        <v>0.0714285714285714</v>
      </c>
      <c r="J4" s="7" t="s">
        <v>25</v>
      </c>
      <c r="K4" s="7" t="s">
        <v>42</v>
      </c>
      <c r="L4" s="7" t="s">
        <v>74</v>
      </c>
      <c r="M4" s="7" t="s">
        <v>58</v>
      </c>
    </row>
    <row r="5" ht="14.75" customHeight="1" spans="1:13">
      <c r="A5" t="s">
        <v>56</v>
      </c>
      <c r="B5" s="5" t="s">
        <v>60</v>
      </c>
      <c r="C5">
        <v>61</v>
      </c>
      <c r="D5">
        <f t="array" ref="D5">SUMPRODUCT(SUMIF(全光组网!A:A,$J$2:$J$16,全光组网!B:B)*($M$2:$M$16=B5))</f>
        <v>6</v>
      </c>
      <c r="E5" s="6">
        <f t="shared" si="0"/>
        <v>0.0983606557377049</v>
      </c>
      <c r="J5" s="7" t="s">
        <v>20</v>
      </c>
      <c r="K5" s="7" t="s">
        <v>42</v>
      </c>
      <c r="L5" s="7" t="s">
        <v>74</v>
      </c>
      <c r="M5" s="7" t="s">
        <v>58</v>
      </c>
    </row>
    <row r="6" ht="14.75" customHeight="1" spans="1:13">
      <c r="A6" t="s">
        <v>39</v>
      </c>
      <c r="B6" s="5" t="s">
        <v>40</v>
      </c>
      <c r="C6">
        <v>42</v>
      </c>
      <c r="D6">
        <f t="array" ref="D6">SUMPRODUCT(SUMIF(全光组网!A:A,$J$2:$J$16,全光组网!B:B)*($M$2:$M$16=B6))</f>
        <v>0</v>
      </c>
      <c r="E6" s="6">
        <f t="shared" si="0"/>
        <v>0</v>
      </c>
      <c r="J6" s="7" t="s">
        <v>31</v>
      </c>
      <c r="K6" s="7" t="s">
        <v>43</v>
      </c>
      <c r="L6" s="7" t="s">
        <v>74</v>
      </c>
      <c r="M6" s="7" t="s">
        <v>57</v>
      </c>
    </row>
    <row r="7" ht="14.75" customHeight="1" spans="1:13">
      <c r="A7" t="s">
        <v>39</v>
      </c>
      <c r="B7" s="5" t="s">
        <v>42</v>
      </c>
      <c r="C7">
        <v>42</v>
      </c>
      <c r="D7">
        <f t="array" ref="D7">SUMPRODUCT(SUMIF(全光组网!A:A,$J$2:$J$16,全光组网!B:B)*($M$2:$M$16=B7))</f>
        <v>0</v>
      </c>
      <c r="E7" s="6">
        <f t="shared" si="0"/>
        <v>0</v>
      </c>
      <c r="J7" s="7" t="s">
        <v>23</v>
      </c>
      <c r="K7" s="7" t="s">
        <v>43</v>
      </c>
      <c r="L7" s="7" t="s">
        <v>74</v>
      </c>
      <c r="M7" s="7" t="s">
        <v>57</v>
      </c>
    </row>
    <row r="8" ht="14.75" customHeight="1" spans="1:13">
      <c r="A8" t="s">
        <v>39</v>
      </c>
      <c r="B8" s="5" t="s">
        <v>43</v>
      </c>
      <c r="C8">
        <v>42</v>
      </c>
      <c r="D8">
        <f t="array" ref="D8">SUMPRODUCT(SUMIF(全光组网!A:A,$J$2:$J$16,全光组网!B:B)*($M$2:$M$16=B8))</f>
        <v>0</v>
      </c>
      <c r="E8" s="6">
        <f t="shared" si="0"/>
        <v>0</v>
      </c>
      <c r="J8" s="7" t="s">
        <v>22</v>
      </c>
      <c r="K8" s="7" t="s">
        <v>44</v>
      </c>
      <c r="L8" s="7" t="s">
        <v>75</v>
      </c>
      <c r="M8" s="7" t="s">
        <v>57</v>
      </c>
    </row>
    <row r="9" ht="14.75" customHeight="1" spans="1:13">
      <c r="A9" t="s">
        <v>39</v>
      </c>
      <c r="B9" s="5" t="s">
        <v>44</v>
      </c>
      <c r="C9">
        <v>42</v>
      </c>
      <c r="D9">
        <f t="array" ref="D9">SUMPRODUCT(SUMIF(全光组网!A:A,$J$2:$J$16,全光组网!B:B)*($M$2:$M$16=B9))</f>
        <v>0</v>
      </c>
      <c r="E9" s="6">
        <f t="shared" si="0"/>
        <v>0</v>
      </c>
      <c r="J9" s="7" t="s">
        <v>24</v>
      </c>
      <c r="K9" s="7" t="s">
        <v>44</v>
      </c>
      <c r="L9" s="7" t="s">
        <v>75</v>
      </c>
      <c r="M9" s="7" t="s">
        <v>57</v>
      </c>
    </row>
    <row r="10" ht="14.75" customHeight="1" spans="1:13">
      <c r="A10" t="s">
        <v>39</v>
      </c>
      <c r="B10" s="5" t="s">
        <v>45</v>
      </c>
      <c r="C10">
        <v>42</v>
      </c>
      <c r="D10">
        <f t="array" ref="D10">SUMPRODUCT(SUMIF(全光组网!A:A,$J$2:$J$16,全光组网!B:B)*($M$2:$M$16=B10))</f>
        <v>0</v>
      </c>
      <c r="E10" s="6">
        <f t="shared" si="0"/>
        <v>0</v>
      </c>
      <c r="J10" s="7" t="s">
        <v>29</v>
      </c>
      <c r="K10" s="7" t="s">
        <v>45</v>
      </c>
      <c r="L10" s="7" t="s">
        <v>75</v>
      </c>
      <c r="M10" s="7" t="s">
        <v>59</v>
      </c>
    </row>
    <row r="11" ht="14.75" customHeight="1" spans="1:13">
      <c r="A11" t="s">
        <v>39</v>
      </c>
      <c r="B11" s="5" t="s">
        <v>46</v>
      </c>
      <c r="C11">
        <v>42</v>
      </c>
      <c r="D11">
        <f t="array" ref="D11">SUMPRODUCT(SUMIF(全光组网!A:A,$J$2:$J$16,全光组网!B:B)*($M$2:$M$16=B11))</f>
        <v>0</v>
      </c>
      <c r="E11" s="6">
        <f t="shared" si="0"/>
        <v>0</v>
      </c>
      <c r="J11" s="7" t="s">
        <v>30</v>
      </c>
      <c r="K11" s="7" t="s">
        <v>45</v>
      </c>
      <c r="L11" s="7" t="s">
        <v>75</v>
      </c>
      <c r="M11" s="7" t="s">
        <v>59</v>
      </c>
    </row>
    <row r="12" ht="14.75" customHeight="1" spans="1:13">
      <c r="A12" t="s">
        <v>39</v>
      </c>
      <c r="B12" s="5" t="s">
        <v>47</v>
      </c>
      <c r="C12">
        <v>42</v>
      </c>
      <c r="D12">
        <f t="array" ref="D12">SUMPRODUCT(SUMIF(全光组网!A:A,$J$2:$J$16,全光组网!B:B)*($M$2:$M$16=B12))</f>
        <v>0</v>
      </c>
      <c r="E12" s="6">
        <f t="shared" si="0"/>
        <v>0</v>
      </c>
      <c r="J12" s="7" t="s">
        <v>33</v>
      </c>
      <c r="K12" s="7" t="s">
        <v>46</v>
      </c>
      <c r="L12" s="7" t="s">
        <v>73</v>
      </c>
      <c r="M12" s="7" t="s">
        <v>59</v>
      </c>
    </row>
    <row r="13" ht="14.75" customHeight="1" spans="1:13">
      <c r="A13" t="s">
        <v>39</v>
      </c>
      <c r="B13" s="5" t="s">
        <v>48</v>
      </c>
      <c r="C13">
        <v>25</v>
      </c>
      <c r="D13">
        <f t="array" ref="D13">SUMPRODUCT(SUMIF(全光组网!A:A,$J$2:$J$16,全光组网!B:B)*($M$2:$M$16=B13))</f>
        <v>0</v>
      </c>
      <c r="E13" s="6">
        <f t="shared" si="0"/>
        <v>0</v>
      </c>
      <c r="J13" s="7" t="s">
        <v>21</v>
      </c>
      <c r="K13" s="7" t="s">
        <v>46</v>
      </c>
      <c r="L13" s="7" t="s">
        <v>73</v>
      </c>
      <c r="M13" s="7" t="s">
        <v>59</v>
      </c>
    </row>
    <row r="14" ht="14.75" customHeight="1" spans="1:13">
      <c r="J14" s="7" t="s">
        <v>35</v>
      </c>
      <c r="K14" s="7" t="s">
        <v>47</v>
      </c>
      <c r="L14" s="7" t="s">
        <v>75</v>
      </c>
      <c r="M14" s="7" t="s">
        <v>60</v>
      </c>
    </row>
    <row r="15" ht="14.75" customHeight="1" spans="1:13">
      <c r="J15" s="7" t="s">
        <v>34</v>
      </c>
      <c r="K15" s="7" t="s">
        <v>47</v>
      </c>
      <c r="L15" s="7" t="s">
        <v>75</v>
      </c>
      <c r="M15" s="7" t="s">
        <v>60</v>
      </c>
    </row>
    <row r="16" ht="14.75" customHeight="1" spans="1:13">
      <c r="J16" s="7" t="s">
        <v>76</v>
      </c>
      <c r="K16" s="7" t="s">
        <v>77</v>
      </c>
      <c r="L16" s="7" t="s">
        <v>73</v>
      </c>
      <c r="M16" s="7" t="s">
        <v>60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E22" sqref="E22"/>
    </sheetView>
  </sheetViews>
  <sheetFormatPr defaultColWidth="9" defaultRowHeight="14" outlineLevelCol="1"/>
  <sheetData>
    <row r="1" spans="1:2">
      <c r="A1" s="1" t="s">
        <v>51</v>
      </c>
      <c r="B1" s="1" t="s">
        <v>78</v>
      </c>
    </row>
    <row r="2" spans="1:2">
      <c r="A2" t="s">
        <v>20</v>
      </c>
      <c r="B2">
        <v>0</v>
      </c>
    </row>
    <row r="3" spans="1:2">
      <c r="A3" t="s">
        <v>21</v>
      </c>
      <c r="B3">
        <v>122.895</v>
      </c>
    </row>
    <row r="4" spans="1:2">
      <c r="A4" t="s">
        <v>22</v>
      </c>
      <c r="B4">
        <v>366</v>
      </c>
    </row>
    <row r="5" spans="1:2">
      <c r="A5" t="s">
        <v>23</v>
      </c>
      <c r="B5">
        <v>-1.5</v>
      </c>
    </row>
    <row r="6" spans="1:2">
      <c r="A6" t="s">
        <v>24</v>
      </c>
      <c r="B6">
        <v>698.5</v>
      </c>
    </row>
    <row r="7" spans="1:2">
      <c r="A7" t="s">
        <v>25</v>
      </c>
      <c r="B7">
        <v>3015</v>
      </c>
    </row>
    <row r="8" spans="1:2">
      <c r="A8" t="s">
        <v>26</v>
      </c>
      <c r="B8">
        <v>173.5</v>
      </c>
    </row>
    <row r="9" spans="1:2">
      <c r="A9" t="s">
        <v>29</v>
      </c>
      <c r="B9">
        <v>0</v>
      </c>
    </row>
    <row r="10" spans="1:2">
      <c r="A10" t="s">
        <v>30</v>
      </c>
      <c r="B10">
        <v>1189.3</v>
      </c>
    </row>
    <row r="11" spans="1:2">
      <c r="A11" t="s">
        <v>31</v>
      </c>
      <c r="B11">
        <v>2375.5</v>
      </c>
    </row>
    <row r="12" spans="1:2">
      <c r="A12" t="s">
        <v>32</v>
      </c>
      <c r="B12">
        <v>6071.5</v>
      </c>
    </row>
    <row r="13" spans="1:2">
      <c r="A13" t="s">
        <v>33</v>
      </c>
      <c r="B13">
        <v>2993.74</v>
      </c>
    </row>
    <row r="14" spans="1:2">
      <c r="A14" t="s">
        <v>34</v>
      </c>
      <c r="B14">
        <v>304</v>
      </c>
    </row>
    <row r="15" spans="1:2">
      <c r="A15" t="s">
        <v>35</v>
      </c>
      <c r="B15">
        <v>-848.075</v>
      </c>
    </row>
    <row r="16" spans="1:2">
      <c r="A16" t="s">
        <v>40</v>
      </c>
      <c r="B16">
        <v>0</v>
      </c>
    </row>
    <row r="17" spans="1:2">
      <c r="A17" t="s">
        <v>42</v>
      </c>
      <c r="B17">
        <v>0</v>
      </c>
    </row>
    <row r="18" spans="1:2">
      <c r="A18" t="s">
        <v>43</v>
      </c>
      <c r="B18">
        <v>0</v>
      </c>
    </row>
    <row r="19" spans="1:2">
      <c r="A19" t="s">
        <v>44</v>
      </c>
      <c r="B19">
        <v>0</v>
      </c>
    </row>
    <row r="20" spans="1:2">
      <c r="A20" t="s">
        <v>45</v>
      </c>
      <c r="B20">
        <v>0</v>
      </c>
    </row>
    <row r="21" spans="1:2">
      <c r="A21" t="s">
        <v>46</v>
      </c>
      <c r="B21">
        <v>1075.5</v>
      </c>
    </row>
    <row r="22" spans="1:2">
      <c r="A22" t="s">
        <v>47</v>
      </c>
      <c r="B22">
        <v>0</v>
      </c>
    </row>
    <row r="23" spans="1:2">
      <c r="A23" t="s">
        <v>48</v>
      </c>
      <c r="B23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2026-05-08T14:05:11Z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