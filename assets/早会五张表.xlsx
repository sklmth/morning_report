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400" windowHeight="10080" tabRatio="659"/>
  </bookViews>
  <sheets>
    <sheet name="模板1" sheetId="1" r:id="rId1"/>
    <sheet name="高套" sheetId="2" r:id="rId2"/>
    <sheet name="全光组网" sheetId="3" r:id="rId3"/>
    <sheet name="完美一单" sheetId="4" r:id="rId4"/>
    <sheet name="高装高套" sheetId="5" r:id="rId5"/>
    <sheet name="红黄牌高套" sheetId="6" r:id="rId6"/>
    <sheet name="商机统计" sheetId="7" r:id="rId7"/>
    <sheet name="交付高装" sheetId="8" r:id="rId8"/>
    <sheet name="激励" sheetId="9" r:id="rId9"/>
    <sheet name="积分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<sst xmlns="http://schemas.openxmlformats.org/spreadsheetml/2006/main" count="475" uniqueCount="94">
  <si>
    <t>团队</t>
  </si>
  <si>
    <t>高套</t>
  </si>
  <si>
    <t>完美一单积分</t>
  </si>
  <si>
    <t>全光组网</t>
  </si>
  <si>
    <t>客户经理</t>
  </si>
  <si>
    <t>政企高套目标</t>
  </si>
  <si>
    <t>政企高套发展</t>
  </si>
  <si>
    <t>政企高套完成率</t>
  </si>
  <si>
    <t>时间进度完成率</t>
  </si>
  <si>
    <t>揽装高套（红黄牌考核）</t>
  </si>
  <si>
    <t>黄牌预警（低于3户）</t>
  </si>
  <si>
    <t>客户经理牌级</t>
  </si>
  <si>
    <t>积分任务值</t>
  </si>
  <si>
    <t>积分完成</t>
  </si>
  <si>
    <t>积分完成率</t>
  </si>
  <si>
    <t>排名</t>
  </si>
  <si>
    <t>积分激励预测(元)</t>
  </si>
  <si>
    <t>发展目标</t>
  </si>
  <si>
    <t>主从网关数</t>
  </si>
  <si>
    <t>完成率</t>
  </si>
  <si>
    <t>党政军
团队</t>
  </si>
  <si>
    <t>钟俊杰</t>
  </si>
  <si>
    <t>麦海芬</t>
  </si>
  <si>
    <t>黄淡妮</t>
  </si>
  <si>
    <t>邱海燕</t>
  </si>
  <si>
    <t>李东</t>
  </si>
  <si>
    <t>王锦添</t>
  </si>
  <si>
    <t>黄观霞</t>
  </si>
  <si>
    <t>团队合计</t>
  </si>
  <si>
    <t>大企业
团队</t>
  </si>
  <si>
    <t>冯艺康</t>
  </si>
  <si>
    <t>谢卓和</t>
  </si>
  <si>
    <t>伍颖敏</t>
  </si>
  <si>
    <t>潘观友</t>
  </si>
  <si>
    <t>李玉强</t>
  </si>
  <si>
    <t>张小敏</t>
  </si>
  <si>
    <t>具进康</t>
  </si>
  <si>
    <t>合计</t>
  </si>
  <si>
    <t>政企</t>
  </si>
  <si>
    <t>端州</t>
  </si>
  <si>
    <t>高端装维</t>
  </si>
  <si>
    <t>陈梓铭</t>
  </si>
  <si>
    <t>-</t>
  </si>
  <si>
    <t>程庆德</t>
  </si>
  <si>
    <t>刘奇峻</t>
  </si>
  <si>
    <t>龙家宝</t>
  </si>
  <si>
    <t>罗紫杰</t>
  </si>
  <si>
    <t>莫健铭</t>
  </si>
  <si>
    <t>吴广仁</t>
  </si>
  <si>
    <t>王洪明</t>
  </si>
  <si>
    <t>高装合计</t>
  </si>
  <si>
    <t>岗位角色</t>
  </si>
  <si>
    <t>姓名</t>
  </si>
  <si>
    <t>高套目标</t>
  </si>
  <si>
    <t>高套发展</t>
  </si>
  <si>
    <t>协同CP发展的主从网关数</t>
  </si>
  <si>
    <t>区县</t>
  </si>
  <si>
    <t>目标</t>
  </si>
  <si>
    <t>完成</t>
  </si>
  <si>
    <t>智云工程师</t>
  </si>
  <si>
    <t>零樑</t>
  </si>
  <si>
    <t>何而恒</t>
  </si>
  <si>
    <t>高要</t>
  </si>
  <si>
    <t>魏垚晖</t>
  </si>
  <si>
    <t>四会</t>
  </si>
  <si>
    <t>吴文懿</t>
  </si>
  <si>
    <t>怀集</t>
  </si>
  <si>
    <t>德庆</t>
  </si>
  <si>
    <t>广宁</t>
  </si>
  <si>
    <t>封开</t>
  </si>
  <si>
    <t>鼎湖</t>
  </si>
  <si>
    <t>高新</t>
  </si>
  <si>
    <t>合　计</t>
  </si>
  <si>
    <t/>
  </si>
  <si>
    <t>王洪明(挂整体指标)</t>
  </si>
  <si>
    <t>净增积分</t>
  </si>
  <si>
    <t>基本面</t>
  </si>
  <si>
    <t>双线</t>
  </si>
  <si>
    <t>增量积分落格率</t>
  </si>
  <si>
    <t>高套数</t>
  </si>
  <si>
    <t>新增积分（全业务）</t>
  </si>
  <si>
    <t>户数</t>
  </si>
  <si>
    <t>高套累计数</t>
  </si>
  <si>
    <t>积分累计数</t>
  </si>
  <si>
    <t>负责客户经理</t>
  </si>
  <si>
    <t>装维协同结对</t>
  </si>
  <si>
    <t>装维负责区域</t>
  </si>
  <si>
    <t>协同交付经理</t>
  </si>
  <si>
    <t>城东</t>
  </si>
  <si>
    <t>城中</t>
  </si>
  <si>
    <t>城西</t>
  </si>
  <si>
    <t>陈泳诗（休产假）</t>
  </si>
  <si>
    <t>王洪明（技能待提升，4月需协同其他装维上门)</t>
  </si>
  <si>
    <t>激励金额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</si>
</sst>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  <numFmt numFmtId="177" formatCode="0.0%"/>
    <numFmt numFmtId="178" formatCode="0.00_ "/>
  </numFmts>
  <fonts count="43">
    <font>
      <sz val="11"/>
      <color theme="1"/>
      <name val="宋体"/>
      <charset val="134"/>
      <scheme val="minor"/>
    </font>
    <font>
      <sz val="9"/>
      <color rgb="FF000000"/>
      <name val="SimSun"/>
      <charset val="134"/>
    </font>
    <font>
      <sz val="9"/>
      <color rgb="FF000000"/>
      <name val="WenQuanYi Micro Hei"/>
      <charset val="134"/>
    </font>
    <font>
      <b/>
      <sz val="11"/>
      <name val="宋体"/>
      <charset val="134"/>
      <scheme val="minor"/>
    </font>
    <font>
      <sz val="11"/>
      <color theme="1"/>
      <name val="等线"/>
      <charset val="134"/>
    </font>
    <font>
      <b/>
      <sz val="11"/>
      <color rgb="FFFFFFFF"/>
      <name val="Arial"/>
      <charset val="134"/>
    </font>
    <font>
      <sz val="11"/>
      <color rgb="FF000000"/>
      <name val="微软雅黑"/>
      <charset val="134"/>
    </font>
    <font>
      <sz val="11"/>
      <color theme="1"/>
      <name val="微软雅黑"/>
      <charset val="134"/>
    </font>
    <font>
      <sz val="9"/>
      <color rgb="FF000000"/>
      <name val="宋体"/>
      <charset val="134"/>
    </font>
    <font>
      <b/>
      <sz val="11"/>
      <color rgb="FF000000"/>
      <name val="微软雅黑"/>
      <charset val="134"/>
    </font>
    <font>
      <sz val="11"/>
      <color rgb="FFFF0000"/>
      <name val="微软雅黑"/>
      <charset val="134"/>
    </font>
    <font>
      <b/>
      <sz val="14"/>
      <color rgb="FFFFFFFF"/>
      <name val="微软雅黑"/>
      <charset val="134"/>
    </font>
    <font>
      <b/>
      <sz val="16"/>
      <color rgb="FFFFFFFF"/>
      <name val="微软雅黑"/>
      <charset val="134"/>
    </font>
    <font>
      <b/>
      <sz val="14"/>
      <color rgb="FFFFFFFF"/>
      <name val="宋体"/>
      <charset val="134"/>
    </font>
    <font>
      <b/>
      <sz val="11"/>
      <color rgb="FFFFFFFF"/>
      <name val="微软雅黑"/>
      <charset val="134"/>
    </font>
    <font>
      <b/>
      <sz val="11"/>
      <color rgb="FFFFFFFF"/>
      <name val="宋体"/>
      <charset val="134"/>
    </font>
    <font>
      <b/>
      <sz val="11"/>
      <color rgb="FF1F4E79"/>
      <name val="微软雅黑"/>
      <charset val="134"/>
    </font>
    <font>
      <sz val="11"/>
      <name val="微软雅黑"/>
      <charset val="134"/>
    </font>
    <font>
      <b/>
      <sz val="10"/>
      <color rgb="FF1F3864"/>
      <name val="Arial"/>
      <charset val="134"/>
    </font>
    <font>
      <sz val="10"/>
      <color rgb="FF1F1F1F"/>
      <name val="Arial"/>
      <charset val="134"/>
    </font>
    <font>
      <sz val="11"/>
      <color rgb="FF000000"/>
      <name val="宋体"/>
      <charset val="134"/>
    </font>
    <font>
      <sz val="11"/>
      <color rgb="FF1F3864"/>
      <name val="Arial"/>
      <charset val="134"/>
    </font>
    <font>
      <sz val="10"/>
      <color rgb="FF1F1F1F"/>
      <name val="宋体"/>
      <charset val="134"/>
    </font>
    <font>
      <b/>
      <sz val="10"/>
      <color rgb="FFFFFFFF"/>
      <name val="Arial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52">
    <fill>
      <patternFill patternType="none"/>
    </fill>
    <fill>
      <patternFill patternType="gray125"/>
    </fill>
    <fill>
      <patternFill patternType="solid">
        <fgColor rgb="FFC2D8F2"/>
        <bgColor indexed="64"/>
      </patternFill>
    </fill>
    <fill>
      <patternFill patternType="solid">
        <fgColor rgb="FF4A86D4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7E6E6"/>
        <bgColor indexed="64"/>
      </patternFill>
    </fill>
    <fill>
      <patternFill patternType="solid">
        <fgColor rgb="FF2D6BB5"/>
        <bgColor indexed="64"/>
      </patternFill>
    </fill>
    <fill>
      <patternFill patternType="solid">
        <fgColor rgb="FF1A3A5C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3A7EC8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8E8C8"/>
        <bgColor indexed="64"/>
      </patternFill>
    </fill>
    <fill>
      <patternFill patternType="solid">
        <fgColor rgb="FFEEF4FB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DEEAF1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EEF3F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A9D18E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5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rgb="FF1B3A6B"/>
      </left>
      <right style="medium">
        <color rgb="FF2E5FA3"/>
      </right>
      <top style="medium">
        <color rgb="FF2E5FA3"/>
      </top>
      <bottom style="medium">
        <color rgb="FF2E5FA3"/>
      </bottom>
      <diagonal/>
    </border>
    <border>
      <left style="medium">
        <color rgb="FF2E5FA3"/>
      </left>
      <right style="medium">
        <color rgb="FF2E5FA3"/>
      </right>
      <top style="medium">
        <color rgb="FF2E5FA3"/>
      </top>
      <bottom style="medium">
        <color rgb="FF2E5FA3"/>
      </bottom>
      <diagonal/>
    </border>
    <border>
      <left style="medium">
        <color rgb="FF2E5FA3"/>
      </left>
      <right style="medium">
        <color rgb="FF1B3A6B"/>
      </right>
      <top style="medium">
        <color rgb="FF2E5FA3"/>
      </top>
      <bottom style="medium">
        <color rgb="FF2E5FA3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auto="1"/>
      </right>
      <top/>
      <bottom style="thin">
        <color rgb="FF000000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rgb="FF00000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000000"/>
      </bottom>
      <diagonal/>
    </border>
    <border>
      <left style="thin">
        <color rgb="FFAABDD6"/>
      </left>
      <right style="thin">
        <color rgb="FFAABDD6"/>
      </right>
      <top style="thin">
        <color rgb="FFAABDD6"/>
      </top>
      <bottom style="thin">
        <color rgb="FFAABDD6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FFFFFF"/>
      </left>
      <right style="thin">
        <color rgb="FFFFFFFF"/>
      </right>
      <top/>
      <bottom style="thick">
        <color rgb="FF1F3864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/>
      <diagonal/>
    </border>
    <border>
      <left style="thin">
        <color rgb="FF2E75B6"/>
      </left>
      <right style="thin">
        <color rgb="FF2E75B6"/>
      </right>
      <top style="thin">
        <color rgb="FF2E75B6"/>
      </top>
      <bottom style="thin">
        <color rgb="FF2E75B6"/>
      </bottom>
      <diagonal/>
    </border>
    <border>
      <left style="thin">
        <color rgb="FFBDD7EE"/>
      </left>
      <right style="thin">
        <color rgb="FFBDD7EE"/>
      </right>
      <top/>
      <bottom style="thin">
        <color rgb="FFBDD7EE"/>
      </bottom>
      <diagonal/>
    </border>
    <border>
      <left style="thin">
        <color rgb="FFAABDD6"/>
      </left>
      <right style="thin">
        <color rgb="FFAABDD6"/>
      </right>
      <top/>
      <bottom/>
      <diagonal/>
    </border>
    <border>
      <left style="medium">
        <color rgb="FF2E75B6"/>
      </left>
      <right style="medium">
        <color rgb="FF2E75B6"/>
      </right>
      <top/>
      <bottom/>
      <diagonal/>
    </border>
    <border>
      <left/>
      <right style="thin">
        <color rgb="FF2E75B6"/>
      </right>
      <top style="thin">
        <color rgb="FF2E75B6"/>
      </top>
      <bottom style="thin">
        <color rgb="FF2E75B6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AABDD6"/>
      </left>
      <right style="thin">
        <color rgb="FFAABDD6"/>
      </right>
      <top/>
      <bottom style="thin">
        <color rgb="FFAABDD6"/>
      </bottom>
      <diagonal/>
    </border>
    <border>
      <left/>
      <right style="thin">
        <color rgb="FFAABDD6"/>
      </right>
      <top style="thin">
        <color rgb="FFAABDD6"/>
      </top>
      <bottom style="thin">
        <color rgb="FFAABDD6"/>
      </bottom>
      <diagonal/>
    </border>
    <border>
      <left style="medium">
        <color rgb="FF4472C4"/>
      </left>
      <right style="thin">
        <color rgb="FFFFFFFF"/>
      </right>
      <top style="medium">
        <color rgb="FF1F3864"/>
      </top>
      <bottom style="medium">
        <color rgb="FF4472C4"/>
      </bottom>
      <diagonal/>
    </border>
    <border>
      <left style="thin">
        <color rgb="FFFFFFFF"/>
      </left>
      <right style="thin">
        <color rgb="FFFFFFFF"/>
      </right>
      <top style="medium">
        <color rgb="FF1F3864"/>
      </top>
      <bottom style="medium">
        <color rgb="FF4472C4"/>
      </bottom>
      <diagonal/>
    </border>
    <border>
      <left style="thin">
        <color rgb="FFFFFFFF"/>
      </left>
      <right style="medium">
        <color rgb="FF4472C4"/>
      </right>
      <top style="medium">
        <color rgb="FF1F3864"/>
      </top>
      <bottom style="medium">
        <color rgb="FF4472C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4" fillId="0" borderId="0">
      <alignment vertical="center"/>
    </xf>
    <xf numFmtId="0" fontId="25" fillId="0" borderId="0">
      <alignment vertical="center"/>
    </xf>
    <xf numFmtId="0" fontId="0" fillId="21" borderId="42">
      <alignment vertical="center"/>
    </xf>
    <xf numFmtId="0" fontId="26" fillId="0" borderId="0">
      <alignment vertical="center"/>
    </xf>
    <xf numFmtId="0" fontId="27" fillId="0" borderId="0">
      <alignment vertical="center"/>
    </xf>
    <xf numFmtId="0" fontId="28" fillId="0" borderId="0">
      <alignment vertical="center"/>
    </xf>
    <xf numFmtId="0" fontId="29" fillId="0" borderId="43">
      <alignment vertical="center"/>
    </xf>
    <xf numFmtId="0" fontId="30" fillId="0" borderId="43">
      <alignment vertical="center"/>
    </xf>
    <xf numFmtId="0" fontId="31" fillId="0" borderId="44">
      <alignment vertical="center"/>
    </xf>
    <xf numFmtId="0" fontId="31" fillId="0" borderId="0">
      <alignment vertical="center"/>
    </xf>
    <xf numFmtId="0" fontId="32" fillId="22" borderId="45">
      <alignment vertical="center"/>
    </xf>
    <xf numFmtId="0" fontId="33" fillId="23" borderId="46">
      <alignment vertical="center"/>
    </xf>
    <xf numFmtId="0" fontId="34" fillId="23" borderId="45">
      <alignment vertical="center"/>
    </xf>
    <xf numFmtId="0" fontId="35" fillId="24" borderId="47">
      <alignment vertical="center"/>
    </xf>
    <xf numFmtId="0" fontId="36" fillId="0" borderId="48">
      <alignment vertical="center"/>
    </xf>
    <xf numFmtId="0" fontId="37" fillId="0" borderId="49">
      <alignment vertical="center"/>
    </xf>
    <xf numFmtId="0" fontId="38" fillId="25" borderId="0">
      <alignment vertical="center"/>
    </xf>
    <xf numFmtId="0" fontId="39" fillId="26" borderId="0">
      <alignment vertical="center"/>
    </xf>
    <xf numFmtId="0" fontId="40" fillId="27" borderId="0">
      <alignment vertical="center"/>
    </xf>
    <xf numFmtId="0" fontId="41" fillId="28" borderId="0">
      <alignment vertical="center"/>
    </xf>
    <xf numFmtId="0" fontId="42" fillId="29" borderId="0">
      <alignment vertical="center"/>
    </xf>
    <xf numFmtId="0" fontId="42" fillId="30" borderId="0">
      <alignment vertical="center"/>
    </xf>
    <xf numFmtId="0" fontId="41" fillId="31" borderId="0">
      <alignment vertical="center"/>
    </xf>
    <xf numFmtId="0" fontId="41" fillId="32" borderId="0">
      <alignment vertical="center"/>
    </xf>
    <xf numFmtId="0" fontId="42" fillId="33" borderId="0">
      <alignment vertical="center"/>
    </xf>
    <xf numFmtId="0" fontId="42" fillId="34" borderId="0">
      <alignment vertical="center"/>
    </xf>
    <xf numFmtId="0" fontId="41" fillId="35" borderId="0">
      <alignment vertical="center"/>
    </xf>
    <xf numFmtId="0" fontId="41" fillId="36" borderId="0">
      <alignment vertical="center"/>
    </xf>
    <xf numFmtId="0" fontId="42" fillId="37" borderId="0">
      <alignment vertical="center"/>
    </xf>
    <xf numFmtId="0" fontId="42" fillId="38" borderId="0">
      <alignment vertical="center"/>
    </xf>
    <xf numFmtId="0" fontId="41" fillId="39" borderId="0">
      <alignment vertical="center"/>
    </xf>
    <xf numFmtId="0" fontId="41" fillId="40" borderId="0">
      <alignment vertical="center"/>
    </xf>
    <xf numFmtId="0" fontId="42" fillId="41" borderId="0">
      <alignment vertical="center"/>
    </xf>
    <xf numFmtId="0" fontId="42" fillId="42" borderId="0">
      <alignment vertical="center"/>
    </xf>
    <xf numFmtId="0" fontId="41" fillId="43" borderId="0">
      <alignment vertical="center"/>
    </xf>
    <xf numFmtId="0" fontId="41" fillId="44" borderId="0">
      <alignment vertical="center"/>
    </xf>
    <xf numFmtId="0" fontId="42" fillId="45" borderId="0">
      <alignment vertical="center"/>
    </xf>
    <xf numFmtId="0" fontId="42" fillId="46" borderId="0">
      <alignment vertical="center"/>
    </xf>
    <xf numFmtId="0" fontId="41" fillId="47" borderId="0">
      <alignment vertical="center"/>
    </xf>
    <xf numFmtId="0" fontId="41" fillId="48" borderId="0">
      <alignment vertical="center"/>
    </xf>
    <xf numFmtId="0" fontId="42" fillId="49" borderId="0">
      <alignment vertical="center"/>
    </xf>
    <xf numFmtId="0" fontId="42" fillId="50" borderId="0">
      <alignment vertical="center"/>
    </xf>
    <xf numFmtId="0" fontId="41" fillId="51" borderId="0">
      <alignment vertical="center"/>
    </xf>
  </cellStyleXfs>
  <cellXfs count="106">
    <xf numFmtId="0" fontId="0" fillId="0" borderId="0" xfId="0" applyAlignment="1">
      <alignment vertical="center"/>
    </xf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top"/>
    </xf>
    <xf numFmtId="0" fontId="4" fillId="0" borderId="3" xfId="0" applyFont="1" applyBorder="1" applyAlignment="1">
      <alignment vertical="top"/>
    </xf>
    <xf numFmtId="0" fontId="4" fillId="0" borderId="4" xfId="0" applyFont="1" applyBorder="1" applyAlignment="1">
      <alignment vertical="top"/>
    </xf>
    <xf numFmtId="0" fontId="4" fillId="0" borderId="2" xfId="0" applyFont="1" applyBorder="1" applyAlignment="1">
      <alignment vertical="top"/>
    </xf>
    <xf numFmtId="0" fontId="4" fillId="0" borderId="0" xfId="0" applyFont="1" applyAlignment="1">
      <alignment vertical="center"/>
    </xf>
    <xf numFmtId="9" fontId="0" fillId="0" borderId="0" xfId="0" applyNumberFormat="1" applyAlignment="1">
      <alignment vertical="center"/>
    </xf>
    <xf numFmtId="0" fontId="4" fillId="0" borderId="5" xfId="0" applyFont="1" applyBorder="1" applyAlignment="1">
      <alignment vertical="top"/>
    </xf>
    <xf numFmtId="0" fontId="5" fillId="3" borderId="6" xfId="0" applyFont="1" applyFill="1" applyBorder="1" applyAlignment="1">
      <alignment horizontal="center" vertical="center"/>
    </xf>
    <xf numFmtId="0" fontId="5" fillId="3" borderId="7" xfId="0" applyFont="1" applyFill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/>
    </xf>
    <xf numFmtId="0" fontId="0" fillId="0" borderId="0" xfId="0" applyAlignment="1"/>
    <xf numFmtId="0" fontId="6" fillId="4" borderId="9" xfId="0" applyFont="1" applyFill="1" applyBorder="1" applyAlignment="1">
      <alignment horizontal="center" vertical="center" wrapText="1"/>
    </xf>
    <xf numFmtId="0" fontId="6" fillId="4" borderId="2" xfId="0" applyFont="1" applyFill="1" applyBorder="1" applyAlignment="1">
      <alignment horizontal="center" vertical="center" wrapText="1"/>
    </xf>
    <xf numFmtId="0" fontId="0" fillId="0" borderId="10" xfId="0" applyBorder="1" applyAlignment="1"/>
    <xf numFmtId="0" fontId="0" fillId="0" borderId="11" xfId="0" applyBorder="1" applyAlignment="1"/>
    <xf numFmtId="0" fontId="0" fillId="0" borderId="12" xfId="0" applyBorder="1" applyAlignment="1"/>
    <xf numFmtId="0" fontId="6" fillId="4" borderId="13" xfId="0" applyFont="1" applyFill="1" applyBorder="1" applyAlignment="1">
      <alignment horizontal="center" vertical="center" wrapText="1"/>
    </xf>
    <xf numFmtId="0" fontId="6" fillId="4" borderId="10" xfId="0" applyFont="1" applyFill="1" applyBorder="1" applyAlignment="1">
      <alignment horizontal="center" vertical="center" wrapText="1"/>
    </xf>
    <xf numFmtId="0" fontId="6" fillId="4" borderId="11" xfId="0" applyFont="1" applyFill="1" applyBorder="1" applyAlignment="1">
      <alignment horizontal="center" vertical="center" wrapText="1"/>
    </xf>
    <xf numFmtId="0" fontId="0" fillId="0" borderId="14" xfId="0" applyBorder="1" applyAlignment="1"/>
    <xf numFmtId="9" fontId="6" fillId="4" borderId="2" xfId="0" applyNumberFormat="1" applyFont="1" applyFill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6" fillId="5" borderId="2" xfId="0" applyFont="1" applyFill="1" applyBorder="1" applyAlignment="1">
      <alignment horizontal="center" vertical="center" wrapText="1"/>
    </xf>
    <xf numFmtId="9" fontId="6" fillId="5" borderId="2" xfId="0" applyNumberFormat="1" applyFont="1" applyFill="1" applyBorder="1" applyAlignment="1">
      <alignment horizontal="center" vertical="center" wrapText="1"/>
    </xf>
    <xf numFmtId="9" fontId="6" fillId="0" borderId="2" xfId="0" applyNumberFormat="1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176" fontId="6" fillId="0" borderId="2" xfId="0" applyNumberFormat="1" applyFont="1" applyBorder="1" applyAlignment="1">
      <alignment horizontal="center" vertical="center" wrapText="1"/>
    </xf>
    <xf numFmtId="0" fontId="7" fillId="5" borderId="2" xfId="0" applyFont="1" applyFill="1" applyBorder="1" applyAlignment="1">
      <alignment horizontal="center" vertical="center" wrapText="1"/>
    </xf>
    <xf numFmtId="9" fontId="7" fillId="5" borderId="2" xfId="0" applyNumberFormat="1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76" fontId="6" fillId="0" borderId="0" xfId="0" applyNumberFormat="1" applyFont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6" fillId="6" borderId="15" xfId="0" applyFont="1" applyFill="1" applyBorder="1" applyAlignment="1">
      <alignment horizontal="center" vertical="center" wrapText="1"/>
    </xf>
    <xf numFmtId="9" fontId="6" fillId="6" borderId="15" xfId="0" applyNumberFormat="1" applyFont="1" applyFill="1" applyBorder="1" applyAlignment="1">
      <alignment horizontal="center" vertical="center" wrapText="1"/>
    </xf>
    <xf numFmtId="0" fontId="9" fillId="6" borderId="15" xfId="0" applyFont="1" applyFill="1" applyBorder="1" applyAlignment="1">
      <alignment horizontal="center" vertical="center" wrapText="1"/>
    </xf>
    <xf numFmtId="9" fontId="6" fillId="6" borderId="2" xfId="3" applyFont="1" applyFill="1" applyBorder="1" applyAlignment="1">
      <alignment horizontal="center" vertical="center" wrapText="1"/>
    </xf>
    <xf numFmtId="0" fontId="0" fillId="0" borderId="16" xfId="0" applyBorder="1" applyAlignment="1"/>
    <xf numFmtId="0" fontId="0" fillId="0" borderId="17" xfId="0" applyBorder="1" applyAlignment="1"/>
    <xf numFmtId="0" fontId="6" fillId="6" borderId="2" xfId="0" applyFont="1" applyFill="1" applyBorder="1" applyAlignment="1">
      <alignment horizontal="center" vertical="center" wrapText="1"/>
    </xf>
    <xf numFmtId="9" fontId="6" fillId="6" borderId="2" xfId="0" applyNumberFormat="1" applyFont="1" applyFill="1" applyBorder="1" applyAlignment="1">
      <alignment horizontal="center" vertical="center" wrapText="1"/>
    </xf>
    <xf numFmtId="0" fontId="9" fillId="6" borderId="2" xfId="0" applyFont="1" applyFill="1" applyBorder="1" applyAlignment="1">
      <alignment horizontal="center" vertical="center" wrapText="1"/>
    </xf>
    <xf numFmtId="176" fontId="9" fillId="0" borderId="18" xfId="0" applyNumberFormat="1" applyFont="1" applyBorder="1" applyAlignment="1">
      <alignment horizontal="center" vertical="center"/>
    </xf>
    <xf numFmtId="0" fontId="0" fillId="0" borderId="19" xfId="0" applyBorder="1" applyAlignment="1"/>
    <xf numFmtId="0" fontId="6" fillId="0" borderId="20" xfId="0" applyFont="1" applyBorder="1" applyAlignment="1">
      <alignment horizontal="center" vertical="center"/>
    </xf>
    <xf numFmtId="0" fontId="9" fillId="5" borderId="20" xfId="0" applyFont="1" applyFill="1" applyBorder="1" applyAlignment="1">
      <alignment horizontal="center" vertical="center" wrapText="1"/>
    </xf>
    <xf numFmtId="9" fontId="9" fillId="5" borderId="20" xfId="0" applyNumberFormat="1" applyFont="1" applyFill="1" applyBorder="1" applyAlignment="1">
      <alignment horizontal="center" vertical="center" wrapText="1"/>
    </xf>
    <xf numFmtId="9" fontId="9" fillId="0" borderId="2" xfId="0" applyNumberFormat="1" applyFont="1" applyBorder="1" applyAlignment="1">
      <alignment horizontal="center" vertical="center" wrapText="1"/>
    </xf>
    <xf numFmtId="0" fontId="9" fillId="0" borderId="20" xfId="0" applyFont="1" applyBorder="1" applyAlignment="1">
      <alignment horizontal="center" vertical="center"/>
    </xf>
    <xf numFmtId="176" fontId="6" fillId="0" borderId="21" xfId="0" applyNumberFormat="1" applyFont="1" applyBorder="1" applyAlignment="1">
      <alignment horizontal="center" vertical="center" wrapText="1"/>
    </xf>
    <xf numFmtId="176" fontId="6" fillId="0" borderId="20" xfId="0" applyNumberFormat="1" applyFont="1" applyBorder="1" applyAlignment="1">
      <alignment horizontal="center" vertical="center" wrapText="1"/>
    </xf>
    <xf numFmtId="9" fontId="9" fillId="0" borderId="21" xfId="0" applyNumberFormat="1" applyFont="1" applyBorder="1" applyAlignment="1">
      <alignment horizontal="center" vertical="center"/>
    </xf>
    <xf numFmtId="9" fontId="9" fillId="0" borderId="17" xfId="0" applyNumberFormat="1" applyFont="1" applyBorder="1" applyAlignment="1">
      <alignment horizontal="center" vertical="center"/>
    </xf>
    <xf numFmtId="0" fontId="10" fillId="0" borderId="22" xfId="0" applyFont="1" applyBorder="1" applyAlignment="1">
      <alignment horizontal="center" vertical="center"/>
    </xf>
    <xf numFmtId="176" fontId="6" fillId="0" borderId="22" xfId="0" applyNumberFormat="1" applyFont="1" applyBorder="1" applyAlignment="1">
      <alignment horizontal="center" vertical="center"/>
    </xf>
    <xf numFmtId="0" fontId="6" fillId="5" borderId="17" xfId="0" applyFont="1" applyFill="1" applyBorder="1" applyAlignment="1">
      <alignment horizontal="center" vertical="center" wrapText="1"/>
    </xf>
    <xf numFmtId="0" fontId="7" fillId="5" borderId="17" xfId="0" applyFont="1" applyFill="1" applyBorder="1" applyAlignment="1">
      <alignment horizontal="center" vertical="center"/>
    </xf>
    <xf numFmtId="0" fontId="0" fillId="0" borderId="20" xfId="0" applyBorder="1" applyAlignment="1"/>
    <xf numFmtId="0" fontId="0" fillId="0" borderId="21" xfId="0" applyBorder="1" applyAlignment="1"/>
    <xf numFmtId="0" fontId="0" fillId="0" borderId="22" xfId="0" applyBorder="1" applyAlignment="1"/>
    <xf numFmtId="0" fontId="6" fillId="5" borderId="23" xfId="0" applyFont="1" applyFill="1" applyBorder="1" applyAlignment="1">
      <alignment horizontal="center" vertical="center" wrapText="1"/>
    </xf>
    <xf numFmtId="0" fontId="7" fillId="5" borderId="23" xfId="0" applyFont="1" applyFill="1" applyBorder="1" applyAlignment="1">
      <alignment horizontal="center" vertical="center"/>
    </xf>
    <xf numFmtId="0" fontId="8" fillId="0" borderId="24" xfId="0" applyFont="1" applyBorder="1" applyAlignment="1">
      <alignment horizontal="center" vertical="center" wrapText="1"/>
    </xf>
    <xf numFmtId="0" fontId="8" fillId="0" borderId="25" xfId="0" applyFont="1" applyBorder="1" applyAlignment="1">
      <alignment horizontal="center" vertical="center" wrapText="1"/>
    </xf>
    <xf numFmtId="176" fontId="9" fillId="0" borderId="2" xfId="0" applyNumberFormat="1" applyFont="1" applyBorder="1" applyAlignment="1">
      <alignment horizontal="center" vertical="center"/>
    </xf>
    <xf numFmtId="0" fontId="11" fillId="7" borderId="0" xfId="0" applyFont="1" applyFill="1" applyAlignment="1">
      <alignment horizontal="center" vertical="center"/>
    </xf>
    <xf numFmtId="0" fontId="12" fillId="8" borderId="0" xfId="0" applyFont="1" applyFill="1" applyAlignment="1">
      <alignment horizontal="center" vertical="center"/>
    </xf>
    <xf numFmtId="0" fontId="13" fillId="9" borderId="0" xfId="0" applyFont="1" applyFill="1" applyAlignment="1">
      <alignment horizontal="center" vertical="center"/>
    </xf>
    <xf numFmtId="0" fontId="14" fillId="10" borderId="26" xfId="0" applyFont="1" applyFill="1" applyBorder="1" applyAlignment="1">
      <alignment horizontal="center" vertical="center" wrapText="1"/>
    </xf>
    <xf numFmtId="0" fontId="5" fillId="11" borderId="27" xfId="0" applyFont="1" applyFill="1" applyBorder="1" applyAlignment="1">
      <alignment horizontal="center" vertical="center"/>
    </xf>
    <xf numFmtId="0" fontId="15" fillId="11" borderId="27" xfId="0" applyFont="1" applyFill="1" applyBorder="1" applyAlignment="1">
      <alignment horizontal="center" vertical="center" wrapText="1"/>
    </xf>
    <xf numFmtId="0" fontId="5" fillId="11" borderId="28" xfId="0" applyFont="1" applyFill="1" applyBorder="1" applyAlignment="1">
      <alignment horizontal="center" vertical="center"/>
    </xf>
    <xf numFmtId="0" fontId="16" fillId="12" borderId="26" xfId="0" applyFont="1" applyFill="1" applyBorder="1" applyAlignment="1">
      <alignment horizontal="center" vertical="center"/>
    </xf>
    <xf numFmtId="0" fontId="6" fillId="13" borderId="26" xfId="0" applyFont="1" applyFill="1" applyBorder="1" applyAlignment="1">
      <alignment horizontal="center" vertical="center"/>
    </xf>
    <xf numFmtId="0" fontId="17" fillId="13" borderId="26" xfId="0" applyFont="1" applyFill="1" applyBorder="1" applyAlignment="1">
      <alignment horizontal="center" vertical="center"/>
    </xf>
    <xf numFmtId="0" fontId="18" fillId="14" borderId="29" xfId="0" applyFont="1" applyFill="1" applyBorder="1" applyAlignment="1">
      <alignment horizontal="center" vertical="center" wrapText="1"/>
    </xf>
    <xf numFmtId="0" fontId="19" fillId="15" borderId="30" xfId="0" applyFont="1" applyFill="1" applyBorder="1" applyAlignment="1">
      <alignment horizontal="center" vertical="center"/>
    </xf>
    <xf numFmtId="9" fontId="19" fillId="15" borderId="30" xfId="0" applyNumberFormat="1" applyFont="1" applyFill="1" applyBorder="1" applyAlignment="1">
      <alignment horizontal="center" vertical="center"/>
    </xf>
    <xf numFmtId="0" fontId="18" fillId="16" borderId="31" xfId="0" applyFont="1" applyFill="1" applyBorder="1" applyAlignment="1">
      <alignment horizontal="center" vertical="center"/>
    </xf>
    <xf numFmtId="0" fontId="20" fillId="17" borderId="31" xfId="0" applyFont="1" applyFill="1" applyBorder="1" applyAlignment="1">
      <alignment horizontal="center" vertical="center"/>
    </xf>
    <xf numFmtId="177" fontId="20" fillId="17" borderId="31" xfId="0" applyNumberFormat="1" applyFont="1" applyFill="1" applyBorder="1" applyAlignment="1">
      <alignment horizontal="center" vertical="center"/>
    </xf>
    <xf numFmtId="0" fontId="21" fillId="17" borderId="31" xfId="0" applyFont="1" applyFill="1" applyBorder="1" applyAlignment="1">
      <alignment horizontal="center" vertical="center"/>
    </xf>
    <xf numFmtId="0" fontId="0" fillId="0" borderId="32" xfId="0" applyBorder="1" applyAlignment="1"/>
    <xf numFmtId="0" fontId="6" fillId="18" borderId="26" xfId="0" applyFont="1" applyFill="1" applyBorder="1" applyAlignment="1">
      <alignment horizontal="center" vertical="center"/>
    </xf>
    <xf numFmtId="0" fontId="17" fillId="18" borderId="26" xfId="0" applyFont="1" applyFill="1" applyBorder="1" applyAlignment="1">
      <alignment horizontal="center" vertical="center"/>
    </xf>
    <xf numFmtId="0" fontId="0" fillId="0" borderId="33" xfId="0" applyBorder="1" applyAlignment="1"/>
    <xf numFmtId="0" fontId="20" fillId="18" borderId="31" xfId="0" applyFont="1" applyFill="1" applyBorder="1" applyAlignment="1">
      <alignment horizontal="center" vertical="center"/>
    </xf>
    <xf numFmtId="0" fontId="21" fillId="18" borderId="31" xfId="0" applyFont="1" applyFill="1" applyBorder="1" applyAlignment="1">
      <alignment horizontal="center" vertical="center"/>
    </xf>
    <xf numFmtId="0" fontId="22" fillId="15" borderId="3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 wrapText="1"/>
    </xf>
    <xf numFmtId="0" fontId="19" fillId="20" borderId="34" xfId="0" applyFont="1" applyFill="1" applyBorder="1" applyAlignment="1">
      <alignment horizontal="center" vertical="center"/>
    </xf>
    <xf numFmtId="0" fontId="19" fillId="20" borderId="30" xfId="0" applyFont="1" applyFill="1" applyBorder="1" applyAlignment="1">
      <alignment horizontal="center" vertical="center"/>
    </xf>
    <xf numFmtId="9" fontId="19" fillId="20" borderId="30" xfId="0" applyNumberFormat="1" applyFont="1" applyFill="1" applyBorder="1" applyAlignment="1">
      <alignment horizontal="center" vertical="center"/>
    </xf>
    <xf numFmtId="0" fontId="0" fillId="0" borderId="35" xfId="0" applyBorder="1" applyAlignment="1"/>
    <xf numFmtId="178" fontId="20" fillId="18" borderId="31" xfId="0" applyNumberFormat="1" applyFont="1" applyFill="1" applyBorder="1" applyAlignment="1">
      <alignment horizontal="center" vertical="center"/>
    </xf>
    <xf numFmtId="0" fontId="0" fillId="0" borderId="36" xfId="0" applyBorder="1" applyAlignment="1"/>
    <xf numFmtId="0" fontId="14" fillId="10" borderId="26" xfId="0" applyFont="1" applyFill="1" applyBorder="1" applyAlignment="1">
      <alignment horizontal="center" vertical="center"/>
    </xf>
    <xf numFmtId="0" fontId="0" fillId="0" borderId="37" xfId="0" applyBorder="1" applyAlignment="1"/>
    <xf numFmtId="0" fontId="23" fillId="9" borderId="38" xfId="0" applyFont="1" applyFill="1" applyBorder="1" applyAlignment="1">
      <alignment horizontal="center" vertical="center"/>
    </xf>
    <xf numFmtId="0" fontId="23" fillId="9" borderId="39" xfId="0" applyFont="1" applyFill="1" applyBorder="1" applyAlignment="1">
      <alignment horizontal="center" vertical="center"/>
    </xf>
    <xf numFmtId="177" fontId="23" fillId="9" borderId="39" xfId="0" applyNumberFormat="1" applyFont="1" applyFill="1" applyBorder="1" applyAlignment="1">
      <alignment horizontal="center" vertical="center"/>
    </xf>
    <xf numFmtId="0" fontId="23" fillId="9" borderId="40" xfId="0" applyFont="1" applyFill="1" applyBorder="1" applyAlignment="1">
      <alignment horizontal="center" vertical="center"/>
    </xf>
    <xf numFmtId="0" fontId="0" fillId="0" borderId="41" xfId="0" applyBorder="1" applyAlignment="1"/>
    <xf numFmtId="0" fontId="22" fillId="20" borderId="34" xfId="0" applyFont="1" applyFill="1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7">
    <dxf>
      <fill>
        <patternFill patternType="solid">
          <bgColor rgb="FFFFFF00"/>
        </patternFill>
      </fill>
    </dxf>
    <dxf>
      <font>
        <b val="1"/>
        <color rgb="FFC0000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26"/>
      <tableStyleElement type="totalRow" dxfId="25"/>
      <tableStyleElement type="firstRowStripe" dxfId="24"/>
      <tableStyleElement type="firstColumnStripe" dxfId="23"/>
      <tableStyleElement type="firstSubtotalRow" dxfId="22"/>
      <tableStyleElement type="secondSubtotalRow" dxfId="21"/>
      <tableStyleElement type="firstRowSubheading" dxfId="20"/>
      <tableStyleElement type="secondRowSubheading" dxfId="19"/>
      <tableStyleElement type="pageFieldLabels" dxfId="18"/>
      <tableStyleElement type="pageFieldValues" dxfId="1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3" name="表5_1113" displayName="表5_1113" ref="F1:I2" totalsRowShown="0">
  <sortState ref="F1:I2">
    <sortCondition ref="H1:H2" descending="1"/>
  </sortState>
  <tableColumns count="4">
    <tableColumn id="1" name="客户经理" dataDxfId="2"/>
    <tableColumn id="2" name="户数" dataDxfId="3"/>
    <tableColumn id="3" name="高套累计数" dataDxfId="4"/>
    <tableColumn id="4" name="积分累计数" dataDxfId="5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4" name="表3_12" displayName="表3_12" ref="A1:D15" totalsRowShown="0">
  <sortState ref="A1:D15">
    <sortCondition ref="C1:C15" descending="1"/>
  </sortState>
  <tableColumns count="4">
    <tableColumn id="1" name="客户经理" dataDxfId="6"/>
    <tableColumn id="2" name="户数" dataDxfId="7"/>
    <tableColumn id="3" name="高套累计数" dataDxfId="8"/>
    <tableColumn id="4" name="积分累计数" dataDxfId="9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104"/>
  <sheetViews>
    <sheetView tabSelected="1" workbookViewId="0">
      <selection activeCell="K7" sqref="K7"/>
    </sheetView>
  </sheetViews>
  <sheetFormatPr defaultColWidth="10.6363636363636" defaultRowHeight="14"/>
  <cols>
    <col min="4" max="4" width="9.25454545454545" style="13" customWidth="1"/>
    <col min="5" max="5" width="9.90909090909091" style="13" customWidth="1"/>
    <col min="6" max="7" width="9.25454545454545" style="13" customWidth="1"/>
    <col min="9" max="10" width="9.25454545454545" style="13" customWidth="1"/>
    <col min="11" max="11" width="10.9" style="13" customWidth="1"/>
    <col min="15" max="15" width="9.90909090909091" style="13" customWidth="1"/>
  </cols>
  <sheetData>
    <row r="1" ht="14.25" customHeight="1" spans="1:24">
      <c r="A1" s="14" t="s">
        <v>0</v>
      </c>
      <c r="B1" s="15" t="str">
        <f ca="1">"完美一单积分完成通报（截至"&amp;MONTH(TODAY()-1)&amp;"月"&amp;DAY(TODAY()-1)&amp;"日）"</f>
        <v>完美一单积分完成通报（截至6月30日）</v>
      </c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7"/>
    </row>
    <row r="2" ht="16.5" customHeight="1" spans="1:24">
      <c r="A2" s="18"/>
      <c r="B2" s="19" t="s">
        <v>1</v>
      </c>
      <c r="C2" s="20"/>
      <c r="D2" s="20"/>
      <c r="E2" s="20"/>
      <c r="F2" s="20"/>
      <c r="G2" s="20"/>
      <c r="H2" s="20"/>
      <c r="I2" s="21"/>
      <c r="J2" s="15" t="s">
        <v>2</v>
      </c>
      <c r="K2" s="16"/>
      <c r="L2" s="16"/>
      <c r="M2" s="16"/>
      <c r="N2" s="16"/>
      <c r="O2" s="17"/>
      <c r="P2" s="15" t="s">
        <v>3</v>
      </c>
      <c r="Q2" s="16"/>
      <c r="R2" s="17"/>
    </row>
    <row r="3" ht="70" customHeight="1" spans="1:24">
      <c r="A3" s="22"/>
      <c r="B3" s="15" t="s">
        <v>4</v>
      </c>
      <c r="C3" s="15" t="s">
        <v>5</v>
      </c>
      <c r="D3" s="15" t="s">
        <v>6</v>
      </c>
      <c r="E3" s="15" t="s">
        <v>7</v>
      </c>
      <c r="F3" s="15" t="s">
        <v>8</v>
      </c>
      <c r="G3" s="15" t="s">
        <v>9</v>
      </c>
      <c r="H3" s="15" t="s">
        <v>10</v>
      </c>
      <c r="I3" s="15" t="s">
        <v>11</v>
      </c>
      <c r="J3" s="15" t="s">
        <v>12</v>
      </c>
      <c r="K3" s="15" t="s">
        <v>13</v>
      </c>
      <c r="L3" s="15" t="s">
        <v>14</v>
      </c>
      <c r="M3" s="15" t="s">
        <v>8</v>
      </c>
      <c r="N3" s="15" t="s">
        <v>15</v>
      </c>
      <c r="O3" s="15" t="s">
        <v>16</v>
      </c>
      <c r="P3" s="15" t="s">
        <v>17</v>
      </c>
      <c r="Q3" s="15" t="s">
        <v>18</v>
      </c>
      <c r="R3" s="23" t="s">
        <v>19</v>
      </c>
    </row>
    <row r="4" ht="14.25" customHeight="1" spans="1:24">
      <c r="A4" s="14" t="s">
        <v>20</v>
      </c>
      <c r="B4" s="24" t="s">
        <v>21</v>
      </c>
      <c r="C4" s="24">
        <v>10</v>
      </c>
      <c r="D4" s="25">
        <f>_xlfn.XLOOKUP(B4,高套!A:A,高套!B:B,0)</f>
        <v>0</v>
      </c>
      <c r="E4" s="26">
        <f t="shared" ref="E4:E20" si="0">D4/C4</f>
        <v>0</v>
      </c>
      <c r="F4" s="27">
        <f ca="1">D4/(C4/X5*U$5)</f>
        <v>0</v>
      </c>
      <c r="G4" s="24">
        <f>_xlfn.XLOOKUP(B4,红黄牌高套!A:A,红黄牌高套!B:B,0)</f>
        <v>1.5</v>
      </c>
      <c r="H4" s="28" t="str">
        <f t="shared" ref="H4:H10" si="1">IF(G4&gt;=3,"否","是")</f>
        <v>是</v>
      </c>
      <c r="I4" s="24" t="str">
        <f t="shared" ref="I4:I10" si="2">IF(G4&gt;=15,"金牌",IF(G4&gt;=12,"银牌",""))</f>
        <v/>
      </c>
      <c r="J4" s="24">
        <v>2500</v>
      </c>
      <c r="K4" s="24">
        <f ca="1">VLOOKUP(B:B,完美一单!A:C,3,0)</f>
        <v>282</v>
      </c>
      <c r="L4" s="27">
        <f ca="1" t="shared" ref="L4:L20" si="3">K4/J4</f>
        <v>0.1128</v>
      </c>
      <c r="M4" s="27">
        <f ca="1">K4/(J4/X5*U$5)</f>
        <v>0.11656</v>
      </c>
      <c r="N4" s="29">
        <f ca="1" t="shared" ref="N4:N10" si="4">VLOOKUP(B:B,V:X,3,0)</f>
        <v>12</v>
      </c>
      <c r="O4" s="29">
        <f ca="1">VLOOKUP(B:B,激励!A:B,2,0)</f>
        <v>1036</v>
      </c>
      <c r="P4" s="25">
        <v>15</v>
      </c>
      <c r="Q4" s="30">
        <f>_xlfn.XLOOKUP(B4,全光组网!A:A,全光组网!B:B,0)</f>
        <v>0</v>
      </c>
      <c r="R4" s="31">
        <f t="shared" ref="R4:R21" si="5">Q4/P4</f>
        <v>0</v>
      </c>
    </row>
    <row r="5" ht="16.5" customHeight="1" spans="1:24">
      <c r="A5" s="18"/>
      <c r="B5" s="24" t="s">
        <v>22</v>
      </c>
      <c r="C5" s="24">
        <v>10</v>
      </c>
      <c r="D5" s="25">
        <f>_xlfn.XLOOKUP(B5,高套!A:A,高套!B:B,0)</f>
        <v>0</v>
      </c>
      <c r="E5" s="26">
        <f t="shared" si="0"/>
        <v>0</v>
      </c>
      <c r="F5" s="27">
        <f ca="1">D5/(C5/X5*U$5)</f>
        <v>0</v>
      </c>
      <c r="G5" s="24">
        <f>_xlfn.XLOOKUP(B5,红黄牌高套!A:A,红黄牌高套!B:B,0)</f>
        <v>0.5</v>
      </c>
      <c r="H5" s="28" t="str">
        <f t="shared" si="1"/>
        <v>是</v>
      </c>
      <c r="I5" s="24" t="str">
        <f t="shared" si="2"/>
        <v/>
      </c>
      <c r="J5" s="24">
        <v>2500</v>
      </c>
      <c r="K5" s="24">
        <f ca="1">VLOOKUP(B:B,完美一单!A:C,3,0)</f>
        <v>287</v>
      </c>
      <c r="L5" s="27">
        <f ca="1" t="shared" si="3"/>
        <v>0.1148</v>
      </c>
      <c r="M5" s="27">
        <f ca="1">K5/(J5/X5*U$5)</f>
        <v>0.118626666666667</v>
      </c>
      <c r="N5" s="29">
        <f ca="1" t="shared" si="4"/>
        <v>11</v>
      </c>
      <c r="O5" s="29">
        <f ca="1">VLOOKUP(B:B,激励!A:B,2,0)</f>
        <v>502.5</v>
      </c>
      <c r="P5" s="25">
        <v>15</v>
      </c>
      <c r="Q5" s="30">
        <f>_xlfn.XLOOKUP(B5,全光组网!A:A,全光组网!B:B,0)</f>
        <v>0</v>
      </c>
      <c r="R5" s="31">
        <f t="shared" si="5"/>
        <v>0</v>
      </c>
      <c r="T5" s="32" t="str">
        <f ca="1">MONTH(TODAY()-1)&amp;"月"</f>
        <v>6月</v>
      </c>
      <c r="U5" s="32">
        <f ca="1">DAY(TODAY()-1)</f>
        <v>30</v>
      </c>
      <c r="V5" s="32"/>
      <c r="W5" s="33"/>
      <c r="X5">
        <f ca="1">DAY(EOMONTH(TODAY(),0))</f>
        <v>31</v>
      </c>
    </row>
    <row r="6" ht="16.5" customHeight="1" spans="1:24">
      <c r="A6" s="18"/>
      <c r="B6" s="24" t="s">
        <v>23</v>
      </c>
      <c r="C6" s="24">
        <v>10</v>
      </c>
      <c r="D6" s="25">
        <f>_xlfn.XLOOKUP(B6,高套!A:A,高套!B:B,0)</f>
        <v>3</v>
      </c>
      <c r="E6" s="26">
        <f t="shared" si="0"/>
        <v>0.3</v>
      </c>
      <c r="F6" s="27">
        <f ca="1">D6/(C6/X5*U$5)</f>
        <v>0.31</v>
      </c>
      <c r="G6" s="24">
        <f>_xlfn.XLOOKUP(B6,红黄牌高套!A:A,红黄牌高套!B:B,0)</f>
        <v>3</v>
      </c>
      <c r="H6" s="28" t="str">
        <f t="shared" si="1"/>
        <v>否</v>
      </c>
      <c r="I6" s="24" t="str">
        <f t="shared" si="2"/>
        <v/>
      </c>
      <c r="J6" s="24">
        <v>2500</v>
      </c>
      <c r="K6" s="24">
        <f ca="1">VLOOKUP(B:B,完美一单!A:C,3,0)</f>
        <v>2291.29</v>
      </c>
      <c r="L6" s="27">
        <f ca="1" t="shared" si="3"/>
        <v>0.916516</v>
      </c>
      <c r="M6" s="27">
        <f ca="1">K6/(J6/X5*U$5)</f>
        <v>0.947066533333333</v>
      </c>
      <c r="N6" s="29">
        <f ca="1" t="shared" si="4"/>
        <v>1</v>
      </c>
      <c r="O6" s="29">
        <f ca="1">VLOOKUP(B:B,激励!A:B,2,0)</f>
        <v>4344</v>
      </c>
      <c r="P6" s="25">
        <v>15</v>
      </c>
      <c r="Q6" s="30">
        <f>_xlfn.XLOOKUP(B6,全光组网!A:A,全光组网!B:B,0)</f>
        <v>9</v>
      </c>
      <c r="R6" s="31">
        <f t="shared" si="5"/>
        <v>0.6</v>
      </c>
    </row>
    <row r="7" ht="16.5" customHeight="1" spans="1:24">
      <c r="A7" s="18"/>
      <c r="B7" s="24" t="s">
        <v>24</v>
      </c>
      <c r="C7" s="24">
        <v>10</v>
      </c>
      <c r="D7" s="25">
        <f>_xlfn.XLOOKUP(B7,高套!A:A,高套!B:B,0)</f>
        <v>26.5</v>
      </c>
      <c r="E7" s="26">
        <f t="shared" si="0"/>
        <v>2.65</v>
      </c>
      <c r="F7" s="27">
        <f ca="1">D7/(C7/X5*U$5)</f>
        <v>2.73833333333333</v>
      </c>
      <c r="G7" s="24">
        <f>_xlfn.XLOOKUP(B7,红黄牌高套!A:A,红黄牌高套!B:B,0)</f>
        <v>27.5</v>
      </c>
      <c r="H7" s="28" t="str">
        <f t="shared" si="1"/>
        <v>否</v>
      </c>
      <c r="I7" s="24" t="str">
        <f t="shared" si="2"/>
        <v>金牌</v>
      </c>
      <c r="J7" s="24">
        <v>2500</v>
      </c>
      <c r="K7" s="24">
        <f ca="1">VLOOKUP(B:B,完美一单!A:C,3,0)</f>
        <v>758</v>
      </c>
      <c r="L7" s="27">
        <f ca="1" t="shared" si="3"/>
        <v>0.3032</v>
      </c>
      <c r="M7" s="27">
        <f ca="1">K7/(J7/X5*U$5)</f>
        <v>0.313306666666667</v>
      </c>
      <c r="N7" s="29">
        <f ca="1" t="shared" si="4"/>
        <v>8</v>
      </c>
      <c r="O7" s="29">
        <f ca="1">VLOOKUP(B:B,激励!A:B,2,0)</f>
        <v>1783.5</v>
      </c>
      <c r="P7" s="25">
        <v>15</v>
      </c>
      <c r="Q7" s="30">
        <f>_xlfn.XLOOKUP(B7,全光组网!A:A,全光组网!B:B,0)</f>
        <v>0</v>
      </c>
      <c r="R7" s="31">
        <f t="shared" si="5"/>
        <v>0</v>
      </c>
    </row>
    <row r="8" ht="16.5" customHeight="1" spans="1:24">
      <c r="A8" s="18"/>
      <c r="B8" s="24" t="s">
        <v>25</v>
      </c>
      <c r="C8" s="24">
        <v>10</v>
      </c>
      <c r="D8" s="25">
        <f>_xlfn.XLOOKUP(B8,高套!A:A,高套!B:B,0)</f>
        <v>18.33</v>
      </c>
      <c r="E8" s="26">
        <f t="shared" si="0"/>
        <v>1.833</v>
      </c>
      <c r="F8" s="27">
        <f ca="1">D8/(C8/X5*U$5)</f>
        <v>1.8941</v>
      </c>
      <c r="G8" s="24">
        <f>_xlfn.XLOOKUP(B8,红黄牌高套!A:A,红黄牌高套!B:B,0)</f>
        <v>19.83</v>
      </c>
      <c r="H8" s="28" t="str">
        <f t="shared" si="1"/>
        <v>否</v>
      </c>
      <c r="I8" s="24" t="str">
        <f t="shared" si="2"/>
        <v>金牌</v>
      </c>
      <c r="J8" s="24">
        <v>2500</v>
      </c>
      <c r="K8" s="24">
        <f ca="1">VLOOKUP(B:B,完美一单!A:C,3,0)</f>
        <v>1766.66</v>
      </c>
      <c r="L8" s="27">
        <f ca="1" t="shared" si="3"/>
        <v>0.706664</v>
      </c>
      <c r="M8" s="27">
        <f ca="1">K8/(J8/X5*U$5)</f>
        <v>0.730219466666667</v>
      </c>
      <c r="N8" s="29">
        <f ca="1" t="shared" si="4"/>
        <v>5</v>
      </c>
      <c r="O8" s="29">
        <f ca="1">VLOOKUP(B:B,激励!A:B,2,0)</f>
        <v>4429</v>
      </c>
      <c r="P8" s="25">
        <v>15</v>
      </c>
      <c r="Q8" s="30">
        <f>_xlfn.XLOOKUP(B8,全光组网!A:A,全光组网!B:B,0)</f>
        <v>0</v>
      </c>
      <c r="R8" s="31">
        <f t="shared" si="5"/>
        <v>0</v>
      </c>
    </row>
    <row r="9" ht="16.5" customHeight="1" spans="1:24">
      <c r="A9" s="18"/>
      <c r="B9" s="24" t="s">
        <v>26</v>
      </c>
      <c r="C9" s="24">
        <v>10</v>
      </c>
      <c r="D9" s="25">
        <f>_xlfn.XLOOKUP(B9,高套!A:A,高套!B:B,0)</f>
        <v>9.52</v>
      </c>
      <c r="E9" s="26">
        <f t="shared" si="0"/>
        <v>0.952</v>
      </c>
      <c r="F9" s="27">
        <f ca="1">D9/(C9/X5*U$5)</f>
        <v>0.983733333333333</v>
      </c>
      <c r="G9" s="24">
        <f>_xlfn.XLOOKUP(B9,红黄牌高套!A:A,红黄牌高套!B:B,0)</f>
        <v>9.52</v>
      </c>
      <c r="H9" s="28" t="str">
        <f t="shared" si="1"/>
        <v>否</v>
      </c>
      <c r="I9" s="24" t="str">
        <f t="shared" si="2"/>
        <v/>
      </c>
      <c r="J9" s="24">
        <v>2500</v>
      </c>
      <c r="K9" s="24">
        <f ca="1">VLOOKUP(B:B,完美一单!A:C,3,0)</f>
        <v>2182</v>
      </c>
      <c r="L9" s="27">
        <f ca="1" t="shared" si="3"/>
        <v>0.8728</v>
      </c>
      <c r="M9" s="27">
        <f ca="1">K9/(J9/X5*U$5)</f>
        <v>0.901893333333333</v>
      </c>
      <c r="N9" s="29">
        <f ca="1" t="shared" si="4"/>
        <v>2</v>
      </c>
      <c r="O9" s="29">
        <f ca="1">VLOOKUP(B:B,激励!A:B,2,0)</f>
        <v>5026</v>
      </c>
      <c r="P9" s="25">
        <v>15</v>
      </c>
      <c r="Q9" s="30">
        <f>_xlfn.XLOOKUP(B9,全光组网!A:A,全光组网!B:B,0)</f>
        <v>9</v>
      </c>
      <c r="R9" s="31">
        <f t="shared" si="5"/>
        <v>0.6</v>
      </c>
      <c r="V9" s="34" t="s">
        <v>21</v>
      </c>
      <c r="W9">
        <f ca="1" t="shared" ref="W9:W22" si="6">VLOOKUP(V:V,B:K,10,0)</f>
        <v>282</v>
      </c>
      <c r="X9">
        <f ca="1" t="shared" ref="X9:X22" si="7">RANK(W9,W$9:W$22,0)</f>
        <v>12</v>
      </c>
    </row>
    <row r="10" ht="16.5" customHeight="1" spans="1:24">
      <c r="A10" s="18"/>
      <c r="B10" s="24" t="s">
        <v>27</v>
      </c>
      <c r="C10" s="24">
        <v>10</v>
      </c>
      <c r="D10" s="25">
        <f>_xlfn.XLOOKUP(B10,高套!A:A,高套!B:B,0)</f>
        <v>2.5</v>
      </c>
      <c r="E10" s="26">
        <f t="shared" si="0"/>
        <v>0.25</v>
      </c>
      <c r="F10" s="27">
        <f ca="1">D10/(C10/X5*U$5)</f>
        <v>0.258333333333333</v>
      </c>
      <c r="G10" s="24">
        <f>_xlfn.XLOOKUP(B10,红黄牌高套!A:A,红黄牌高套!B:B,0)</f>
        <v>5.5</v>
      </c>
      <c r="H10" s="28" t="str">
        <f t="shared" si="1"/>
        <v>否</v>
      </c>
      <c r="I10" s="24" t="str">
        <f t="shared" si="2"/>
        <v/>
      </c>
      <c r="J10" s="24">
        <v>2500</v>
      </c>
      <c r="K10" s="24">
        <f ca="1">VLOOKUP(B:B,完美一单!A:C,3,0)</f>
        <v>1254.03</v>
      </c>
      <c r="L10" s="27">
        <f ca="1" t="shared" si="3"/>
        <v>0.501612</v>
      </c>
      <c r="M10" s="27">
        <f ca="1">K10/(J10/X5*U$5)</f>
        <v>0.5183324</v>
      </c>
      <c r="N10" s="29">
        <f ca="1" t="shared" si="4"/>
        <v>7</v>
      </c>
      <c r="O10" s="29">
        <f ca="1">VLOOKUP(B:B,激励!A:B,2,0)</f>
        <v>3491</v>
      </c>
      <c r="P10" s="25">
        <v>15</v>
      </c>
      <c r="Q10" s="30">
        <f>_xlfn.XLOOKUP(B10,全光组网!A:A,全光组网!B:B,0)</f>
        <v>5</v>
      </c>
      <c r="R10" s="31">
        <f t="shared" si="5"/>
        <v>0.333333333333333</v>
      </c>
      <c r="V10" s="34" t="s">
        <v>22</v>
      </c>
      <c r="W10">
        <f ca="1" t="shared" si="6"/>
        <v>287</v>
      </c>
      <c r="X10">
        <f ca="1" t="shared" si="7"/>
        <v>11</v>
      </c>
    </row>
    <row r="11" ht="16.5" customHeight="1" spans="1:24">
      <c r="A11" s="22"/>
      <c r="B11" s="35" t="s">
        <v>28</v>
      </c>
      <c r="C11" s="35">
        <f>SUM(C4:C10)</f>
        <v>70</v>
      </c>
      <c r="D11" s="35">
        <f>SUM(D4:D10)</f>
        <v>59.85</v>
      </c>
      <c r="E11" s="36">
        <f t="shared" si="0"/>
        <v>0.855</v>
      </c>
      <c r="F11" s="36">
        <f ca="1">D11/(C11/X5*U$5)</f>
        <v>0.8835</v>
      </c>
      <c r="G11" s="35">
        <f>SUM(G4:G10)</f>
        <v>67.35</v>
      </c>
      <c r="H11" s="36"/>
      <c r="I11" s="37"/>
      <c r="J11" s="37">
        <f>SUM(J4:J10)</f>
        <v>17500</v>
      </c>
      <c r="K11" s="35">
        <f ca="1">SUM(K4:K10)</f>
        <v>8820.98</v>
      </c>
      <c r="L11" s="36">
        <f ca="1" t="shared" si="3"/>
        <v>0.504056</v>
      </c>
      <c r="M11" s="36">
        <f ca="1">K11/(J11/X5*U$5)</f>
        <v>0.520857866666667</v>
      </c>
      <c r="N11" s="35"/>
      <c r="O11" s="37"/>
      <c r="P11" s="35">
        <f>SUM(P4:P10)</f>
        <v>105</v>
      </c>
      <c r="Q11" s="35">
        <f>SUM(Q4:Q10)</f>
        <v>23</v>
      </c>
      <c r="R11" s="38">
        <f t="shared" si="5"/>
        <v>0.219047619047619</v>
      </c>
      <c r="V11" s="34" t="s">
        <v>23</v>
      </c>
      <c r="W11">
        <f ca="1" t="shared" si="6"/>
        <v>2291.29</v>
      </c>
      <c r="X11">
        <f ca="1" t="shared" si="7"/>
        <v>1</v>
      </c>
    </row>
    <row r="12" ht="14.25" customHeight="1" spans="1:24">
      <c r="A12" s="15" t="s">
        <v>29</v>
      </c>
      <c r="B12" s="24" t="s">
        <v>30</v>
      </c>
      <c r="C12" s="24">
        <v>10</v>
      </c>
      <c r="D12" s="25">
        <f>_xlfn.XLOOKUP(B12,高套!A:A,高套!B:B,0)</f>
        <v>0</v>
      </c>
      <c r="E12" s="26">
        <f t="shared" si="0"/>
        <v>0</v>
      </c>
      <c r="F12" s="27">
        <f ca="1">D12/(C12/X5*U$5)</f>
        <v>0</v>
      </c>
      <c r="G12" s="24">
        <f>_xlfn.XLOOKUP(B12,红黄牌高套!A:A,红黄牌高套!B:B,0)</f>
        <v>0.5</v>
      </c>
      <c r="H12" s="28" t="str">
        <f t="shared" ref="H12:H18" si="8">IF(G12&gt;=3,"否","是")</f>
        <v>是</v>
      </c>
      <c r="I12" s="24" t="str">
        <f t="shared" ref="I12:I18" si="9">IF(G12&gt;=15,"金牌",IF(G12&gt;=12,"银牌",""))</f>
        <v/>
      </c>
      <c r="J12" s="24">
        <v>2500</v>
      </c>
      <c r="K12" s="24">
        <f ca="1">VLOOKUP(B:B,完美一单!A:C,3,0)</f>
        <v>63</v>
      </c>
      <c r="L12" s="27">
        <f ca="1" t="shared" si="3"/>
        <v>0.0252</v>
      </c>
      <c r="M12" s="27">
        <f ca="1">K12/(J12/X5*U$5)</f>
        <v>0.02604</v>
      </c>
      <c r="N12" s="29">
        <f ca="1" t="shared" ref="N12:N18" si="10">VLOOKUP(B:B,V:X,3,0)</f>
        <v>14</v>
      </c>
      <c r="O12" s="29">
        <f ca="1">VLOOKUP(B:B,激励!A:B,2,0)</f>
        <v>122.5</v>
      </c>
      <c r="P12" s="25">
        <v>15</v>
      </c>
      <c r="Q12" s="30">
        <f>_xlfn.XLOOKUP(B12,全光组网!A:A,全光组网!B:B,0)</f>
        <v>0</v>
      </c>
      <c r="R12" s="31">
        <f t="shared" si="5"/>
        <v>0</v>
      </c>
      <c r="V12" s="34" t="s">
        <v>24</v>
      </c>
      <c r="W12">
        <f ca="1" t="shared" si="6"/>
        <v>758</v>
      </c>
      <c r="X12">
        <f ca="1" t="shared" si="7"/>
        <v>8</v>
      </c>
    </row>
    <row r="13" ht="16.5" customHeight="1" spans="1:24">
      <c r="A13" s="39"/>
      <c r="B13" s="24" t="s">
        <v>31</v>
      </c>
      <c r="C13" s="24">
        <v>10</v>
      </c>
      <c r="D13" s="25">
        <f>_xlfn.XLOOKUP(B13,高套!A:A,高套!B:B,0)</f>
        <v>5</v>
      </c>
      <c r="E13" s="26">
        <f t="shared" si="0"/>
        <v>0.5</v>
      </c>
      <c r="F13" s="27">
        <f ca="1">D13/(C13/X5*U$5)</f>
        <v>0.516666666666667</v>
      </c>
      <c r="G13" s="24">
        <f>_xlfn.XLOOKUP(B13,红黄牌高套!A:A,红黄牌高套!B:B,0)</f>
        <v>6</v>
      </c>
      <c r="H13" s="28" t="str">
        <f t="shared" si="8"/>
        <v>否</v>
      </c>
      <c r="I13" s="24" t="str">
        <f t="shared" si="9"/>
        <v/>
      </c>
      <c r="J13" s="24">
        <v>2500</v>
      </c>
      <c r="K13" s="24">
        <f ca="1">VLOOKUP(B:B,完美一单!A:C,3,0)</f>
        <v>689</v>
      </c>
      <c r="L13" s="27">
        <f ca="1" t="shared" si="3"/>
        <v>0.2756</v>
      </c>
      <c r="M13" s="27">
        <f ca="1">K13/(J13/X5*U$5)</f>
        <v>0.284786666666667</v>
      </c>
      <c r="N13" s="29">
        <f ca="1" t="shared" si="10"/>
        <v>9</v>
      </c>
      <c r="O13" s="29">
        <f ca="1">VLOOKUP(B:B,激励!A:B,2,0)</f>
        <v>1339.5</v>
      </c>
      <c r="P13" s="25">
        <v>15</v>
      </c>
      <c r="Q13" s="30">
        <f>_xlfn.XLOOKUP(B13,全光组网!A:A,全光组网!B:B,0)</f>
        <v>0</v>
      </c>
      <c r="R13" s="31">
        <f t="shared" si="5"/>
        <v>0</v>
      </c>
      <c r="V13" s="34" t="s">
        <v>25</v>
      </c>
      <c r="W13">
        <f ca="1" t="shared" si="6"/>
        <v>1766.66</v>
      </c>
      <c r="X13">
        <f ca="1" t="shared" si="7"/>
        <v>5</v>
      </c>
    </row>
    <row r="14" ht="16.5" customHeight="1" spans="1:24">
      <c r="A14" s="39"/>
      <c r="B14" s="24" t="s">
        <v>32</v>
      </c>
      <c r="C14" s="24">
        <v>10</v>
      </c>
      <c r="D14" s="25">
        <f>_xlfn.XLOOKUP(B14,高套!A:A,高套!B:B,0)</f>
        <v>2</v>
      </c>
      <c r="E14" s="26">
        <f t="shared" si="0"/>
        <v>0.2</v>
      </c>
      <c r="F14" s="27">
        <f ca="1">D14/(C14/X5*U$5)</f>
        <v>0.206666666666667</v>
      </c>
      <c r="G14" s="24">
        <f>_xlfn.XLOOKUP(B14,红黄牌高套!A:A,红黄牌高套!B:B,0)</f>
        <v>3</v>
      </c>
      <c r="H14" s="28" t="str">
        <f t="shared" si="8"/>
        <v>否</v>
      </c>
      <c r="I14" s="24" t="str">
        <f t="shared" si="9"/>
        <v/>
      </c>
      <c r="J14" s="24">
        <v>2500</v>
      </c>
      <c r="K14" s="24">
        <f ca="1">VLOOKUP(B:B,完美一单!A:C,3,0)</f>
        <v>387</v>
      </c>
      <c r="L14" s="27">
        <f ca="1" t="shared" si="3"/>
        <v>0.1548</v>
      </c>
      <c r="M14" s="27">
        <f ca="1">K14/(J14/X5*U$5)</f>
        <v>0.15996</v>
      </c>
      <c r="N14" s="29">
        <f ca="1" t="shared" si="10"/>
        <v>10</v>
      </c>
      <c r="O14" s="29">
        <f ca="1">VLOOKUP(B:B,激励!A:B,2,0)</f>
        <v>1661.5</v>
      </c>
      <c r="P14" s="25">
        <v>15</v>
      </c>
      <c r="Q14" s="30">
        <f>_xlfn.XLOOKUP(B14,全光组网!A:A,全光组网!B:B,0)</f>
        <v>3</v>
      </c>
      <c r="R14" s="31">
        <f t="shared" si="5"/>
        <v>0.2</v>
      </c>
      <c r="V14" s="34" t="s">
        <v>26</v>
      </c>
      <c r="W14">
        <f ca="1" t="shared" si="6"/>
        <v>2182</v>
      </c>
      <c r="X14">
        <f ca="1" t="shared" si="7"/>
        <v>2</v>
      </c>
    </row>
    <row r="15" ht="16.5" customHeight="1" spans="1:24">
      <c r="A15" s="39"/>
      <c r="B15" s="24" t="s">
        <v>33</v>
      </c>
      <c r="C15" s="24">
        <v>10</v>
      </c>
      <c r="D15" s="25">
        <f>_xlfn.XLOOKUP(B15,高套!A:A,高套!B:B,0)</f>
        <v>6.5</v>
      </c>
      <c r="E15" s="26">
        <f t="shared" si="0"/>
        <v>0.65</v>
      </c>
      <c r="F15" s="27">
        <f ca="1">D15/(C15/X5*U$5)</f>
        <v>0.671666666666667</v>
      </c>
      <c r="G15" s="24">
        <f>_xlfn.XLOOKUP(B15,红黄牌高套!A:A,红黄牌高套!B:B,0)</f>
        <v>6.5</v>
      </c>
      <c r="H15" s="28" t="str">
        <f t="shared" si="8"/>
        <v>否</v>
      </c>
      <c r="I15" s="24" t="str">
        <f t="shared" si="9"/>
        <v/>
      </c>
      <c r="J15" s="24">
        <v>2500</v>
      </c>
      <c r="K15" s="24">
        <f ca="1">VLOOKUP(B:B,完美一单!A:C,3,0)</f>
        <v>2117.76</v>
      </c>
      <c r="L15" s="27">
        <f ca="1" t="shared" si="3"/>
        <v>0.847104</v>
      </c>
      <c r="M15" s="27">
        <f ca="1">K15/(J15/X5*U$5)</f>
        <v>0.8753408</v>
      </c>
      <c r="N15" s="29">
        <f ca="1" t="shared" si="10"/>
        <v>3</v>
      </c>
      <c r="O15" s="29">
        <f ca="1">VLOOKUP(B:B,激励!A:B,2,0)</f>
        <v>6846.5</v>
      </c>
      <c r="P15" s="25">
        <v>15</v>
      </c>
      <c r="Q15" s="30">
        <f>_xlfn.XLOOKUP(B15,全光组网!A:A,全光组网!B:B,0)</f>
        <v>15</v>
      </c>
      <c r="R15" s="31">
        <f t="shared" si="5"/>
        <v>1</v>
      </c>
      <c r="V15" s="34" t="s">
        <v>27</v>
      </c>
      <c r="W15">
        <f ca="1" t="shared" si="6"/>
        <v>1254.03</v>
      </c>
      <c r="X15">
        <f ca="1" t="shared" si="7"/>
        <v>7</v>
      </c>
    </row>
    <row r="16" ht="16.5" customHeight="1" spans="1:24">
      <c r="A16" s="39"/>
      <c r="B16" s="24" t="s">
        <v>34</v>
      </c>
      <c r="C16" s="24">
        <v>10</v>
      </c>
      <c r="D16" s="25">
        <f>_xlfn.XLOOKUP(B16,高套!A:A,高套!B:B,0)</f>
        <v>11.5</v>
      </c>
      <c r="E16" s="26">
        <f t="shared" si="0"/>
        <v>1.15</v>
      </c>
      <c r="F16" s="27">
        <f ca="1">D16/(C16/X5*U$5)</f>
        <v>1.18833333333333</v>
      </c>
      <c r="G16" s="24">
        <f>_xlfn.XLOOKUP(B16,红黄牌高套!A:A,红黄牌高套!B:B,0)</f>
        <v>13</v>
      </c>
      <c r="H16" s="28" t="str">
        <f t="shared" si="8"/>
        <v>否</v>
      </c>
      <c r="I16" s="24" t="str">
        <f t="shared" si="9"/>
        <v>银牌</v>
      </c>
      <c r="J16" s="24">
        <v>2500</v>
      </c>
      <c r="K16" s="24">
        <f ca="1">VLOOKUP(B:B,完美一单!A:C,3,0)</f>
        <v>2096</v>
      </c>
      <c r="L16" s="27">
        <f ca="1" t="shared" si="3"/>
        <v>0.8384</v>
      </c>
      <c r="M16" s="27">
        <f ca="1">K16/(J16/X5*U$5)</f>
        <v>0.866346666666667</v>
      </c>
      <c r="N16" s="29">
        <f ca="1" t="shared" si="10"/>
        <v>4</v>
      </c>
      <c r="O16" s="29">
        <f ca="1">VLOOKUP(B:B,激励!A:B,2,0)</f>
        <v>7387</v>
      </c>
      <c r="P16" s="25">
        <v>15</v>
      </c>
      <c r="Q16" s="30">
        <f>_xlfn.XLOOKUP(B16,全光组网!A:A,全光组网!B:B,0)</f>
        <v>10</v>
      </c>
      <c r="R16" s="31">
        <f t="shared" si="5"/>
        <v>0.666666666666667</v>
      </c>
      <c r="V16" s="34" t="s">
        <v>30</v>
      </c>
      <c r="W16">
        <f ca="1" t="shared" si="6"/>
        <v>63</v>
      </c>
      <c r="X16">
        <f ca="1" t="shared" si="7"/>
        <v>14</v>
      </c>
    </row>
    <row r="17" ht="16.5" customHeight="1" spans="1:24">
      <c r="A17" s="39"/>
      <c r="B17" s="24" t="s">
        <v>35</v>
      </c>
      <c r="C17" s="24">
        <v>10</v>
      </c>
      <c r="D17" s="25">
        <f>_xlfn.XLOOKUP(B17,高套!A:A,高套!B:B,0)</f>
        <v>9.94</v>
      </c>
      <c r="E17" s="26">
        <f t="shared" si="0"/>
        <v>0.994</v>
      </c>
      <c r="F17" s="27">
        <f ca="1">D17/(C17/X5*U$5)</f>
        <v>1.02713333333333</v>
      </c>
      <c r="G17" s="24">
        <f>_xlfn.XLOOKUP(B17,红黄牌高套!A:A,红黄牌高套!B:B,0)</f>
        <v>9.94</v>
      </c>
      <c r="H17" s="28" t="str">
        <f t="shared" si="8"/>
        <v>否</v>
      </c>
      <c r="I17" s="24" t="str">
        <f t="shared" si="9"/>
        <v/>
      </c>
      <c r="J17" s="24">
        <v>2500</v>
      </c>
      <c r="K17" s="24">
        <f ca="1">VLOOKUP(B:B,完美一单!A:C,3,0)</f>
        <v>1415</v>
      </c>
      <c r="L17" s="27">
        <f ca="1" t="shared" si="3"/>
        <v>0.566</v>
      </c>
      <c r="M17" s="27">
        <f ca="1">K17/(J17/X5*U$5)</f>
        <v>0.584866666666667</v>
      </c>
      <c r="N17" s="29">
        <f ca="1" t="shared" si="10"/>
        <v>6</v>
      </c>
      <c r="O17" s="29">
        <f ca="1">VLOOKUP(B:B,激励!A:B,2,0)</f>
        <v>4117.5</v>
      </c>
      <c r="P17" s="25">
        <v>15</v>
      </c>
      <c r="Q17" s="30">
        <f>_xlfn.XLOOKUP(B17,全光组网!A:A,全光组网!B:B,0)</f>
        <v>3</v>
      </c>
      <c r="R17" s="31">
        <f t="shared" si="5"/>
        <v>0.2</v>
      </c>
      <c r="V17" s="34" t="s">
        <v>31</v>
      </c>
      <c r="W17">
        <f ca="1" t="shared" si="6"/>
        <v>689</v>
      </c>
      <c r="X17">
        <f ca="1" t="shared" si="7"/>
        <v>9</v>
      </c>
    </row>
    <row r="18" ht="16.5" customHeight="1" spans="1:24">
      <c r="A18" s="39"/>
      <c r="B18" s="24" t="s">
        <v>36</v>
      </c>
      <c r="C18" s="24">
        <v>10</v>
      </c>
      <c r="D18" s="25">
        <f>_xlfn.XLOOKUP(B18,高套!A:A,高套!B:B,0)</f>
        <v>0.75</v>
      </c>
      <c r="E18" s="26">
        <f t="shared" si="0"/>
        <v>0.075</v>
      </c>
      <c r="F18" s="27">
        <f ca="1">D18/(C18/X5*U$5)</f>
        <v>0.0775</v>
      </c>
      <c r="G18" s="24">
        <f>_xlfn.XLOOKUP(B18,红黄牌高套!A:A,红黄牌高套!B:B,0)</f>
        <v>0.75</v>
      </c>
      <c r="H18" s="28" t="str">
        <f t="shared" si="8"/>
        <v>是</v>
      </c>
      <c r="I18" s="24" t="str">
        <f t="shared" si="9"/>
        <v/>
      </c>
      <c r="J18" s="24">
        <v>2500</v>
      </c>
      <c r="K18" s="24">
        <f ca="1">VLOOKUP(B:B,完美一单!A:C,3,0)</f>
        <v>154.92</v>
      </c>
      <c r="L18" s="27">
        <f ca="1" t="shared" si="3"/>
        <v>0.061968</v>
      </c>
      <c r="M18" s="27">
        <f ca="1">K18/(J18/X5*U$5)</f>
        <v>0.0640336</v>
      </c>
      <c r="N18" s="29">
        <f ca="1" t="shared" si="10"/>
        <v>13</v>
      </c>
      <c r="O18" s="29">
        <f ca="1">VLOOKUP(B:B,激励!A:B,2,0)</f>
        <v>232.38</v>
      </c>
      <c r="P18" s="25">
        <v>15</v>
      </c>
      <c r="Q18" s="30">
        <f>_xlfn.XLOOKUP(B18,全光组网!A:A,全光组网!B:B,0)</f>
        <v>0</v>
      </c>
      <c r="R18" s="31">
        <f t="shared" si="5"/>
        <v>0</v>
      </c>
      <c r="V18" s="34" t="s">
        <v>32</v>
      </c>
      <c r="W18">
        <f ca="1" t="shared" si="6"/>
        <v>387</v>
      </c>
      <c r="X18">
        <f ca="1" t="shared" si="7"/>
        <v>10</v>
      </c>
    </row>
    <row r="19" ht="16.5" customHeight="1" spans="1:24">
      <c r="A19" s="40"/>
      <c r="B19" s="41" t="s">
        <v>28</v>
      </c>
      <c r="C19" s="41">
        <f>SUM(C12:C18)</f>
        <v>70</v>
      </c>
      <c r="D19" s="41">
        <f>SUM(D12:D18)</f>
        <v>35.69</v>
      </c>
      <c r="E19" s="42">
        <f t="shared" si="0"/>
        <v>0.509857142857143</v>
      </c>
      <c r="F19" s="36">
        <f ca="1">D19/(C19/X5*U$5)</f>
        <v>0.526852380952381</v>
      </c>
      <c r="G19" s="41">
        <f>SUM(G12:G18)</f>
        <v>39.69</v>
      </c>
      <c r="H19" s="42"/>
      <c r="I19" s="43"/>
      <c r="J19" s="43">
        <f>SUM(J12:J18)</f>
        <v>17500</v>
      </c>
      <c r="K19" s="41">
        <f ca="1">SUM(K12:K18)</f>
        <v>6922.68</v>
      </c>
      <c r="L19" s="42">
        <f ca="1" t="shared" si="3"/>
        <v>0.395581714285714</v>
      </c>
      <c r="M19" s="42">
        <f ca="1">K19/(J19/X5*U$5)</f>
        <v>0.408767771428571</v>
      </c>
      <c r="N19" s="41"/>
      <c r="O19" s="43"/>
      <c r="P19" s="41">
        <f>SUM(P12:P18)</f>
        <v>105</v>
      </c>
      <c r="Q19" s="41">
        <f>SUM(Q12:Q18)</f>
        <v>31</v>
      </c>
      <c r="R19" s="38">
        <f t="shared" si="5"/>
        <v>0.295238095238095</v>
      </c>
      <c r="V19" s="34" t="s">
        <v>33</v>
      </c>
      <c r="W19">
        <f ca="1" t="shared" si="6"/>
        <v>2117.76</v>
      </c>
      <c r="X19">
        <f ca="1" t="shared" si="7"/>
        <v>3</v>
      </c>
    </row>
    <row r="20" ht="15" customHeight="1" spans="1:24">
      <c r="A20" s="44" t="s">
        <v>37</v>
      </c>
      <c r="B20" s="45"/>
      <c r="C20" s="46">
        <v>132</v>
      </c>
      <c r="D20" s="47">
        <f>_xlfn.XLOOKUP("端州",高套!A:A,高套!B:B,0)</f>
        <v>95.54</v>
      </c>
      <c r="E20" s="48">
        <f t="shared" si="0"/>
        <v>0.723787878787879</v>
      </c>
      <c r="F20" s="49">
        <f ca="1">D20/(C20/X5*U$5)</f>
        <v>0.747914141414141</v>
      </c>
      <c r="G20" s="50">
        <f>G11+G19</f>
        <v>107.04</v>
      </c>
      <c r="H20" s="49"/>
      <c r="I20" s="51"/>
      <c r="J20" s="52">
        <f>J11+J19</f>
        <v>35000</v>
      </c>
      <c r="K20" s="46">
        <f ca="1">K11+K19</f>
        <v>15743.66</v>
      </c>
      <c r="L20" s="53">
        <f ca="1" t="shared" si="3"/>
        <v>0.449818857142857</v>
      </c>
      <c r="M20" s="54">
        <f ca="1">K20/(J20/X5*U$5)</f>
        <v>0.464812819047619</v>
      </c>
      <c r="N20" s="55"/>
      <c r="O20" s="56" t="s">
        <v>38</v>
      </c>
      <c r="P20" s="57">
        <v>210</v>
      </c>
      <c r="Q20" s="58">
        <f>Q11+Q19</f>
        <v>54</v>
      </c>
      <c r="R20" s="31">
        <f t="shared" si="5"/>
        <v>0.257142857142857</v>
      </c>
      <c r="V20" s="34" t="s">
        <v>34</v>
      </c>
      <c r="W20">
        <f ca="1" t="shared" si="6"/>
        <v>2096</v>
      </c>
      <c r="X20">
        <f ca="1" t="shared" si="7"/>
        <v>4</v>
      </c>
    </row>
    <row r="21" ht="15" customHeight="1" spans="1:24">
      <c r="A21" s="22"/>
      <c r="B21" s="59"/>
      <c r="C21" s="59"/>
      <c r="D21" s="59"/>
      <c r="E21" s="59"/>
      <c r="F21" s="40"/>
      <c r="G21" s="59"/>
      <c r="H21" s="40"/>
      <c r="I21" s="60"/>
      <c r="J21" s="59"/>
      <c r="K21" s="59"/>
      <c r="L21" s="60"/>
      <c r="M21" s="40"/>
      <c r="N21" s="61"/>
      <c r="O21" s="56" t="s">
        <v>39</v>
      </c>
      <c r="P21" s="62">
        <v>310</v>
      </c>
      <c r="Q21" s="63">
        <f>_xlfn.XLOOKUP(O21,全光组网!A:A,全光组网!B:B,0)</f>
        <v>233</v>
      </c>
      <c r="R21" s="31">
        <f t="shared" si="5"/>
        <v>0.751612903225806</v>
      </c>
      <c r="V21" s="64" t="s">
        <v>36</v>
      </c>
      <c r="W21">
        <f ca="1" t="shared" si="6"/>
        <v>154.92</v>
      </c>
      <c r="X21">
        <f ca="1" t="shared" si="7"/>
        <v>13</v>
      </c>
    </row>
    <row r="22" ht="16.5" customHeight="1" spans="1:24">
      <c r="A22" s="15" t="s">
        <v>40</v>
      </c>
      <c r="B22" s="24" t="s">
        <v>41</v>
      </c>
      <c r="C22" s="27" t="s">
        <v>42</v>
      </c>
      <c r="D22" s="27" t="s">
        <v>42</v>
      </c>
      <c r="E22" s="27" t="s">
        <v>42</v>
      </c>
      <c r="F22" s="27" t="s">
        <v>42</v>
      </c>
      <c r="G22" s="24">
        <f>高装高套!B2</f>
        <v>0</v>
      </c>
      <c r="H22" s="27" t="s">
        <v>42</v>
      </c>
      <c r="I22" s="27"/>
      <c r="J22" s="27" t="s">
        <v>42</v>
      </c>
      <c r="K22" s="24">
        <f ca="1">VLOOKUP(B:B,完美一单!A:C,3,0)</f>
        <v>0</v>
      </c>
      <c r="L22" s="27" t="s">
        <v>42</v>
      </c>
      <c r="M22" s="27" t="s">
        <v>42</v>
      </c>
      <c r="N22" s="29" t="s">
        <v>42</v>
      </c>
      <c r="O22" s="29">
        <f ca="1">VLOOKUP(B:B,激励!A:B,2,0)</f>
        <v>0</v>
      </c>
      <c r="P22" s="25" t="s">
        <v>42</v>
      </c>
      <c r="Q22" s="30" t="s">
        <v>42</v>
      </c>
      <c r="R22" s="31" t="s">
        <v>42</v>
      </c>
      <c r="V22" s="65" t="s">
        <v>35</v>
      </c>
      <c r="W22">
        <f ca="1" t="shared" si="6"/>
        <v>1415</v>
      </c>
      <c r="X22">
        <f ca="1" t="shared" si="7"/>
        <v>6</v>
      </c>
    </row>
    <row r="23" ht="14.25" customHeight="1" spans="1:24">
      <c r="A23" s="39"/>
      <c r="B23" s="24" t="s">
        <v>43</v>
      </c>
      <c r="C23" s="27" t="s">
        <v>42</v>
      </c>
      <c r="D23" s="27" t="s">
        <v>42</v>
      </c>
      <c r="E23" s="27" t="s">
        <v>42</v>
      </c>
      <c r="F23" s="27" t="s">
        <v>42</v>
      </c>
      <c r="G23" s="24">
        <f>高装高套!B3</f>
        <v>0</v>
      </c>
      <c r="H23" s="27" t="s">
        <v>42</v>
      </c>
      <c r="I23" s="27"/>
      <c r="J23" s="27" t="s">
        <v>42</v>
      </c>
      <c r="K23" s="24">
        <f ca="1">VLOOKUP(B:B,完美一单!A:C,3,0)</f>
        <v>0</v>
      </c>
      <c r="L23" s="27" t="s">
        <v>42</v>
      </c>
      <c r="M23" s="27" t="s">
        <v>42</v>
      </c>
      <c r="N23" s="29" t="s">
        <v>42</v>
      </c>
      <c r="O23" s="29">
        <f ca="1">VLOOKUP(B:B,激励!A:B,2,0)</f>
        <v>0</v>
      </c>
      <c r="P23" s="25" t="s">
        <v>42</v>
      </c>
      <c r="Q23" s="30" t="s">
        <v>42</v>
      </c>
      <c r="R23" s="31" t="s">
        <v>42</v>
      </c>
    </row>
    <row r="24" ht="14.25" customHeight="1" spans="1:24">
      <c r="A24" s="39"/>
      <c r="B24" s="24" t="s">
        <v>44</v>
      </c>
      <c r="C24" s="27" t="s">
        <v>42</v>
      </c>
      <c r="D24" s="27" t="s">
        <v>42</v>
      </c>
      <c r="E24" s="27" t="s">
        <v>42</v>
      </c>
      <c r="F24" s="27" t="s">
        <v>42</v>
      </c>
      <c r="G24" s="24">
        <f>高装高套!B4</f>
        <v>0</v>
      </c>
      <c r="H24" s="27" t="s">
        <v>42</v>
      </c>
      <c r="I24" s="27"/>
      <c r="J24" s="27" t="s">
        <v>42</v>
      </c>
      <c r="K24" s="24">
        <f ca="1">VLOOKUP(B:B,完美一单!A:C,3,0)</f>
        <v>0</v>
      </c>
      <c r="L24" s="27" t="s">
        <v>42</v>
      </c>
      <c r="M24" s="27" t="s">
        <v>42</v>
      </c>
      <c r="N24" s="29" t="s">
        <v>42</v>
      </c>
      <c r="O24" s="29">
        <f ca="1">VLOOKUP(B:B,激励!A:B,2,0)</f>
        <v>786.5</v>
      </c>
      <c r="P24" s="25" t="s">
        <v>42</v>
      </c>
      <c r="Q24" s="30" t="s">
        <v>42</v>
      </c>
      <c r="R24" s="31" t="s">
        <v>42</v>
      </c>
    </row>
    <row r="25" ht="14.25" customHeight="1" spans="1:24">
      <c r="A25" s="39"/>
      <c r="B25" s="24" t="s">
        <v>45</v>
      </c>
      <c r="C25" s="27" t="s">
        <v>42</v>
      </c>
      <c r="D25" s="27" t="s">
        <v>42</v>
      </c>
      <c r="E25" s="27" t="s">
        <v>42</v>
      </c>
      <c r="F25" s="27" t="s">
        <v>42</v>
      </c>
      <c r="G25" s="24">
        <f>高装高套!B5</f>
        <v>1</v>
      </c>
      <c r="H25" s="27" t="s">
        <v>42</v>
      </c>
      <c r="I25" s="27"/>
      <c r="J25" s="27" t="s">
        <v>42</v>
      </c>
      <c r="K25" s="24">
        <f ca="1">VLOOKUP(B:B,完美一单!A:C,3,0)</f>
        <v>143</v>
      </c>
      <c r="L25" s="27" t="s">
        <v>42</v>
      </c>
      <c r="M25" s="27" t="s">
        <v>42</v>
      </c>
      <c r="N25" s="29" t="s">
        <v>42</v>
      </c>
      <c r="O25" s="29">
        <f ca="1">VLOOKUP(B:B,激励!A:B,2,0)</f>
        <v>281</v>
      </c>
      <c r="P25" s="25" t="s">
        <v>42</v>
      </c>
      <c r="Q25" s="30" t="s">
        <v>42</v>
      </c>
      <c r="R25" s="31" t="s">
        <v>42</v>
      </c>
    </row>
    <row r="26" ht="14.25" customHeight="1" spans="1:24">
      <c r="A26" s="39"/>
      <c r="B26" s="24" t="s">
        <v>46</v>
      </c>
      <c r="C26" s="27" t="s">
        <v>42</v>
      </c>
      <c r="D26" s="27" t="s">
        <v>42</v>
      </c>
      <c r="E26" s="27" t="s">
        <v>42</v>
      </c>
      <c r="F26" s="27" t="s">
        <v>42</v>
      </c>
      <c r="G26" s="24">
        <f>高装高套!B6</f>
        <v>0</v>
      </c>
      <c r="H26" s="27" t="s">
        <v>42</v>
      </c>
      <c r="I26" s="27"/>
      <c r="J26" s="27" t="s">
        <v>42</v>
      </c>
      <c r="K26" s="24">
        <f ca="1">VLOOKUP(B:B,完美一单!A:C,3,0)</f>
        <v>0</v>
      </c>
      <c r="L26" s="27" t="s">
        <v>42</v>
      </c>
      <c r="M26" s="27" t="s">
        <v>42</v>
      </c>
      <c r="N26" s="29" t="s">
        <v>42</v>
      </c>
      <c r="O26" s="29">
        <f ca="1">VLOOKUP(B:B,激励!A:B,2,0)</f>
        <v>0</v>
      </c>
      <c r="P26" s="25" t="s">
        <v>42</v>
      </c>
      <c r="Q26" s="30" t="s">
        <v>42</v>
      </c>
      <c r="R26" s="31" t="s">
        <v>42</v>
      </c>
    </row>
    <row r="27" ht="16.5" customHeight="1" spans="1:24">
      <c r="A27" s="39"/>
      <c r="B27" s="24" t="s">
        <v>47</v>
      </c>
      <c r="C27" s="27" t="s">
        <v>42</v>
      </c>
      <c r="D27" s="27" t="s">
        <v>42</v>
      </c>
      <c r="E27" s="27" t="s">
        <v>42</v>
      </c>
      <c r="F27" s="27" t="s">
        <v>42</v>
      </c>
      <c r="G27" s="24">
        <f>高装高套!B7</f>
        <v>0</v>
      </c>
      <c r="H27" s="27" t="s">
        <v>42</v>
      </c>
      <c r="I27" s="27"/>
      <c r="J27" s="27" t="s">
        <v>42</v>
      </c>
      <c r="K27" s="24">
        <f ca="1">VLOOKUP(B:B,完美一单!A:C,3,0)</f>
        <v>0</v>
      </c>
      <c r="L27" s="27" t="s">
        <v>42</v>
      </c>
      <c r="M27" s="27" t="s">
        <v>42</v>
      </c>
      <c r="N27" s="29" t="s">
        <v>42</v>
      </c>
      <c r="O27" s="29">
        <f ca="1">VLOOKUP(B:B,激励!A:B,2,0)</f>
        <v>0</v>
      </c>
      <c r="P27" s="25" t="s">
        <v>42</v>
      </c>
      <c r="Q27" s="30" t="s">
        <v>42</v>
      </c>
      <c r="R27" s="31" t="s">
        <v>42</v>
      </c>
    </row>
    <row r="28" ht="16.5" customHeight="1" spans="1:24">
      <c r="A28" s="39"/>
      <c r="B28" s="24" t="s">
        <v>48</v>
      </c>
      <c r="C28" s="27" t="s">
        <v>42</v>
      </c>
      <c r="D28" s="27" t="s">
        <v>42</v>
      </c>
      <c r="E28" s="27" t="s">
        <v>42</v>
      </c>
      <c r="F28" s="27" t="s">
        <v>42</v>
      </c>
      <c r="G28" s="24">
        <f>高装高套!B8</f>
        <v>0</v>
      </c>
      <c r="H28" s="27" t="s">
        <v>42</v>
      </c>
      <c r="I28" s="27"/>
      <c r="J28" s="27" t="s">
        <v>42</v>
      </c>
      <c r="K28" s="24">
        <f ca="1">VLOOKUP(B:B,完美一单!A:C,3,0)</f>
        <v>0</v>
      </c>
      <c r="L28" s="27" t="s">
        <v>42</v>
      </c>
      <c r="M28" s="27" t="s">
        <v>42</v>
      </c>
      <c r="N28" s="29" t="s">
        <v>42</v>
      </c>
      <c r="O28" s="29">
        <f ca="1">VLOOKUP(B:B,激励!A:B,2,0)</f>
        <v>0</v>
      </c>
      <c r="P28" s="25" t="s">
        <v>42</v>
      </c>
      <c r="Q28" s="30" t="s">
        <v>42</v>
      </c>
      <c r="R28" s="31" t="s">
        <v>42</v>
      </c>
    </row>
    <row r="29" ht="16.5" customHeight="1" spans="1:24">
      <c r="A29" s="40"/>
      <c r="B29" s="24" t="s">
        <v>49</v>
      </c>
      <c r="C29" s="27" t="s">
        <v>42</v>
      </c>
      <c r="D29" s="27" t="s">
        <v>42</v>
      </c>
      <c r="E29" s="27" t="s">
        <v>42</v>
      </c>
      <c r="F29" s="27" t="s">
        <v>42</v>
      </c>
      <c r="G29" s="24">
        <f>高装高套!B9</f>
        <v>0</v>
      </c>
      <c r="H29" s="27" t="s">
        <v>42</v>
      </c>
      <c r="I29" s="27"/>
      <c r="J29" s="27" t="s">
        <v>42</v>
      </c>
      <c r="K29" s="24">
        <f ca="1">VLOOKUP(B:B,完美一单!A:C,3,0)</f>
        <v>0</v>
      </c>
      <c r="L29" s="27" t="s">
        <v>42</v>
      </c>
      <c r="M29" s="27" t="s">
        <v>42</v>
      </c>
      <c r="N29" s="29" t="s">
        <v>42</v>
      </c>
      <c r="O29" s="29">
        <f ca="1">VLOOKUP(B:B,激励!A:B,2,0)</f>
        <v>25</v>
      </c>
      <c r="P29" s="25" t="s">
        <v>42</v>
      </c>
      <c r="Q29" s="30" t="s">
        <v>42</v>
      </c>
      <c r="R29" s="31" t="s">
        <v>42</v>
      </c>
    </row>
    <row r="30" ht="16.5" customHeight="1" spans="1:24">
      <c r="A30" s="66" t="s">
        <v>50</v>
      </c>
      <c r="B30" s="17"/>
      <c r="C30" s="27" t="s">
        <v>42</v>
      </c>
      <c r="D30" s="27" t="s">
        <v>42</v>
      </c>
      <c r="E30" s="27" t="s">
        <v>42</v>
      </c>
      <c r="F30" s="27" t="s">
        <v>42</v>
      </c>
      <c r="G30" s="24">
        <f>SUM(G22:G29)</f>
        <v>1</v>
      </c>
      <c r="H30" s="27" t="s">
        <v>42</v>
      </c>
      <c r="I30" s="27"/>
      <c r="J30" s="27" t="s">
        <v>42</v>
      </c>
      <c r="K30" s="24">
        <f ca="1">SUM(K22:K29)</f>
        <v>143</v>
      </c>
      <c r="L30" s="27" t="s">
        <v>42</v>
      </c>
      <c r="M30" s="27" t="s">
        <v>42</v>
      </c>
      <c r="N30" s="27" t="s">
        <v>42</v>
      </c>
      <c r="O30" s="27" t="s">
        <v>42</v>
      </c>
      <c r="P30" s="27" t="s">
        <v>42</v>
      </c>
      <c r="Q30" s="27" t="s">
        <v>42</v>
      </c>
      <c r="R30" s="27" t="s">
        <v>42</v>
      </c>
    </row>
    <row r="31" ht="16.5" customHeight="1"/>
    <row r="32" ht="16.5" customHeight="1" spans="1:24">
      <c r="G32"/>
      <c r="I32"/>
      <c r="J32"/>
      <c r="K32"/>
      <c r="O32"/>
    </row>
    <row r="33" ht="16.5" customHeight="1" spans="1:20">
      <c r="A33" s="67" t="str">
        <f>"高装高套目标完成情况"</f>
        <v>高装高套目标完成情况</v>
      </c>
      <c r="G33"/>
      <c r="I33"/>
      <c r="J33" s="68" t="str">
        <f>"全光任务完成情况"</f>
        <v>全光任务完成情况</v>
      </c>
      <c r="O33"/>
      <c r="P33" s="69" t="str">
        <f>"区县目标完成情况"</f>
        <v>区县目标完成情况</v>
      </c>
    </row>
    <row r="34" ht="33" customHeight="1" spans="1:20">
      <c r="A34" s="70" t="s">
        <v>51</v>
      </c>
      <c r="B34" s="70" t="s">
        <v>52</v>
      </c>
      <c r="C34" s="70" t="s">
        <v>53</v>
      </c>
      <c r="D34" s="70" t="s">
        <v>54</v>
      </c>
      <c r="E34" s="70" t="s">
        <v>13</v>
      </c>
      <c r="F34" s="70" t="s">
        <v>16</v>
      </c>
      <c r="G34"/>
      <c r="I34"/>
      <c r="J34" s="71" t="s">
        <v>51</v>
      </c>
      <c r="K34" s="71" t="s">
        <v>52</v>
      </c>
      <c r="L34" s="71" t="s">
        <v>17</v>
      </c>
      <c r="M34" s="72" t="s">
        <v>55</v>
      </c>
      <c r="N34" s="71" t="s">
        <v>19</v>
      </c>
      <c r="O34"/>
      <c r="P34" s="73" t="s">
        <v>56</v>
      </c>
      <c r="Q34" s="73" t="s">
        <v>57</v>
      </c>
      <c r="R34" s="73" t="s">
        <v>58</v>
      </c>
      <c r="S34" s="73" t="s">
        <v>19</v>
      </c>
      <c r="T34" s="73" t="s">
        <v>15</v>
      </c>
    </row>
    <row r="35" ht="16.5" customHeight="1" spans="1:20">
      <c r="A35" s="74" t="s">
        <v>40</v>
      </c>
      <c r="B35" s="75" t="str">
        <f>高装高套!A2</f>
        <v>陈梓铭</v>
      </c>
      <c r="C35" s="75">
        <v>1</v>
      </c>
      <c r="D35" s="75">
        <f>高装高套!B2</f>
        <v>0</v>
      </c>
      <c r="E35" s="76">
        <f ca="1">VLOOKUP(B:B,完美一单!A:C,3,0)</f>
        <v>0</v>
      </c>
      <c r="F35" s="76">
        <f ca="1">VLOOKUP(B:B,激励!A:B,2,0)</f>
        <v>0</v>
      </c>
      <c r="G35"/>
      <c r="I35"/>
      <c r="J35" s="77" t="s">
        <v>59</v>
      </c>
      <c r="K35" s="78" t="s">
        <v>60</v>
      </c>
      <c r="L35" s="78">
        <v>60</v>
      </c>
      <c r="M35" s="78">
        <f>交付高装!D2</f>
        <v>12</v>
      </c>
      <c r="N35" s="79">
        <f>交付高装!E2</f>
        <v>0.2</v>
      </c>
      <c r="O35"/>
      <c r="P35" s="80" t="s">
        <v>39</v>
      </c>
      <c r="Q35" s="81">
        <v>4.25</v>
      </c>
      <c r="R35" s="81">
        <f ca="1">ROUND(_xlfn.XLOOKUP(P35,高套!A:A,高套!B:B,0)/U5,2)</f>
        <v>3.18</v>
      </c>
      <c r="S35" s="82">
        <f ca="1" t="shared" ref="S35:S44" si="11">R35/Q35</f>
        <v>0.748235294117647</v>
      </c>
      <c r="T35" s="83">
        <f ca="1">RANK(S35,S35:S43)</f>
        <v>9</v>
      </c>
    </row>
    <row r="36" ht="16.5" customHeight="1" spans="1:20">
      <c r="A36" s="84"/>
      <c r="B36" s="85" t="str">
        <f>高装高套!A3</f>
        <v>程庆德</v>
      </c>
      <c r="C36" s="85">
        <v>1</v>
      </c>
      <c r="D36" s="85">
        <f>高装高套!B3</f>
        <v>0</v>
      </c>
      <c r="E36" s="86">
        <f ca="1">VLOOKUP(B:B,完美一单!A:C,3,0)</f>
        <v>0</v>
      </c>
      <c r="F36" s="86">
        <f ca="1">VLOOKUP(B:B,激励!A:B,2,0)</f>
        <v>0</v>
      </c>
      <c r="G36"/>
      <c r="I36"/>
      <c r="J36" s="87"/>
      <c r="K36" s="78" t="s">
        <v>61</v>
      </c>
      <c r="L36" s="78">
        <v>60</v>
      </c>
      <c r="M36" s="78">
        <f>交付高装!D3</f>
        <v>29</v>
      </c>
      <c r="N36" s="79">
        <f>交付高装!E3</f>
        <v>0.483333333333333</v>
      </c>
      <c r="O36"/>
      <c r="P36" s="80" t="s">
        <v>62</v>
      </c>
      <c r="Q36" s="88">
        <v>5.75</v>
      </c>
      <c r="R36" s="88">
        <f ca="1">ROUND(_xlfn.XLOOKUP(P36,高套!A:A,高套!B:B,0)/U5,2)</f>
        <v>4.48</v>
      </c>
      <c r="S36" s="82">
        <f ca="1" t="shared" si="11"/>
        <v>0.779130434782609</v>
      </c>
      <c r="T36" s="89">
        <f ca="1">RANK(S36,S35:S43)</f>
        <v>8</v>
      </c>
    </row>
    <row r="37" ht="16.5" customHeight="1" spans="1:20">
      <c r="A37" s="84"/>
      <c r="B37" s="75" t="str">
        <f>高装高套!A4</f>
        <v>刘奇峻</v>
      </c>
      <c r="C37" s="75">
        <v>1</v>
      </c>
      <c r="D37" s="75">
        <f>高装高套!B4</f>
        <v>0</v>
      </c>
      <c r="E37" s="76">
        <f ca="1">VLOOKUP(B:B,完美一单!A:C,3,0)</f>
        <v>0</v>
      </c>
      <c r="F37" s="76">
        <f ca="1">VLOOKUP(B:B,激励!A:B,2,0)</f>
        <v>786.5</v>
      </c>
      <c r="G37"/>
      <c r="I37"/>
      <c r="J37" s="87"/>
      <c r="K37" s="90" t="s">
        <v>63</v>
      </c>
      <c r="L37" s="78">
        <v>60</v>
      </c>
      <c r="M37" s="78">
        <f>交付高装!D4</f>
        <v>10</v>
      </c>
      <c r="N37" s="79">
        <f>交付高装!E4</f>
        <v>0.166666666666667</v>
      </c>
      <c r="O37"/>
      <c r="P37" s="80" t="s">
        <v>64</v>
      </c>
      <c r="Q37" s="81">
        <v>3.52</v>
      </c>
      <c r="R37" s="81">
        <f ca="1">ROUND(_xlfn.XLOOKUP(P37,高套!A:A,高套!B:B,0)/U5,2)</f>
        <v>10.02</v>
      </c>
      <c r="S37" s="82">
        <f ca="1" t="shared" si="11"/>
        <v>2.84659090909091</v>
      </c>
      <c r="T37" s="83">
        <f ca="1">RANK(S37,S35:S43)</f>
        <v>1</v>
      </c>
    </row>
    <row r="38" ht="16.5" customHeight="1" spans="1:20">
      <c r="A38" s="84"/>
      <c r="B38" s="85" t="str">
        <f>高装高套!A5</f>
        <v>龙家宝</v>
      </c>
      <c r="C38" s="85">
        <v>1</v>
      </c>
      <c r="D38" s="85">
        <f>高装高套!B5</f>
        <v>1</v>
      </c>
      <c r="E38" s="86">
        <f ca="1">VLOOKUP(B:B,完美一单!A:C,3,0)</f>
        <v>143</v>
      </c>
      <c r="F38" s="86">
        <f ca="1">VLOOKUP(B:B,激励!A:B,2,0)</f>
        <v>281</v>
      </c>
      <c r="G38"/>
      <c r="I38"/>
      <c r="J38" s="87"/>
      <c r="K38" s="78" t="s">
        <v>65</v>
      </c>
      <c r="L38" s="78">
        <v>45</v>
      </c>
      <c r="M38" s="78">
        <f>交付高装!D5</f>
        <v>3</v>
      </c>
      <c r="N38" s="79">
        <f>交付高装!E5</f>
        <v>0.0666666666666667</v>
      </c>
      <c r="O38"/>
      <c r="P38" s="80" t="s">
        <v>66</v>
      </c>
      <c r="Q38" s="88">
        <v>3.97</v>
      </c>
      <c r="R38" s="88">
        <f ca="1">ROUND(_xlfn.XLOOKUP(P38,高套!A:A,高套!B:B,0)/U5,2)</f>
        <v>4.12</v>
      </c>
      <c r="S38" s="82">
        <f ca="1" t="shared" si="11"/>
        <v>1.03778337531486</v>
      </c>
      <c r="T38" s="89">
        <f ca="1">RANK(S38,S35:S43)</f>
        <v>4</v>
      </c>
    </row>
    <row r="39" ht="16.5" customHeight="1" spans="1:20">
      <c r="A39" s="84"/>
      <c r="B39" s="75" t="str">
        <f>高装高套!A6</f>
        <v>罗紫杰</v>
      </c>
      <c r="C39" s="75">
        <v>1</v>
      </c>
      <c r="D39" s="75">
        <f>高装高套!B6</f>
        <v>0</v>
      </c>
      <c r="E39" s="76">
        <f ca="1">VLOOKUP(B:B,完美一单!A:C,3,0)</f>
        <v>0</v>
      </c>
      <c r="F39" s="76">
        <f ca="1">VLOOKUP(B:B,激励!A:B,2,0)</f>
        <v>0</v>
      </c>
      <c r="G39"/>
      <c r="I39"/>
      <c r="J39" s="91" t="s">
        <v>40</v>
      </c>
      <c r="K39" s="92" t="s">
        <v>41</v>
      </c>
      <c r="L39" s="93">
        <v>30</v>
      </c>
      <c r="M39" s="93">
        <f>交付高装!D6</f>
        <v>20</v>
      </c>
      <c r="N39" s="94">
        <f>交付高装!E6</f>
        <v>0.666666666666667</v>
      </c>
      <c r="O39"/>
      <c r="P39" s="80" t="s">
        <v>67</v>
      </c>
      <c r="Q39" s="81">
        <v>2.38</v>
      </c>
      <c r="R39" s="81">
        <f ca="1">ROUND(_xlfn.XLOOKUP(P39,高套!A:A,高套!B:B,0)/U5,2)</f>
        <v>2.85</v>
      </c>
      <c r="S39" s="82">
        <f ca="1" t="shared" si="11"/>
        <v>1.19747899159664</v>
      </c>
      <c r="T39" s="83">
        <f ca="1">RANK(S39,S35:S43)</f>
        <v>3</v>
      </c>
    </row>
    <row r="40" ht="16.5" customHeight="1" spans="1:20">
      <c r="A40" s="84"/>
      <c r="B40" s="85" t="str">
        <f>高装高套!A7</f>
        <v>莫健铭</v>
      </c>
      <c r="C40" s="85">
        <v>1</v>
      </c>
      <c r="D40" s="85">
        <f>高装高套!B7</f>
        <v>0</v>
      </c>
      <c r="E40" s="86">
        <f ca="1">VLOOKUP(B:B,完美一单!A:C,3,0)</f>
        <v>0</v>
      </c>
      <c r="F40" s="86">
        <f ca="1">VLOOKUP(B:B,激励!A:B,2,0)</f>
        <v>0</v>
      </c>
      <c r="G40"/>
      <c r="I40"/>
      <c r="J40" s="95"/>
      <c r="K40" s="92" t="s">
        <v>43</v>
      </c>
      <c r="L40" s="93">
        <v>30</v>
      </c>
      <c r="M40" s="93">
        <f>交付高装!D7</f>
        <v>9</v>
      </c>
      <c r="N40" s="94">
        <f>交付高装!E7</f>
        <v>0.3</v>
      </c>
      <c r="O40"/>
      <c r="P40" s="80" t="s">
        <v>68</v>
      </c>
      <c r="Q40" s="96">
        <v>2.6</v>
      </c>
      <c r="R40" s="96">
        <f ca="1">ROUND(_xlfn.XLOOKUP(P40,高套!A:A,高套!B:B,0)/U5,2)</f>
        <v>2.25</v>
      </c>
      <c r="S40" s="82">
        <f ca="1" t="shared" si="11"/>
        <v>0.865384615384615</v>
      </c>
      <c r="T40" s="89">
        <f ca="1">RANK(S40,S35:S43)</f>
        <v>6</v>
      </c>
    </row>
    <row r="41" ht="16.5" customHeight="1" spans="1:20">
      <c r="A41" s="84"/>
      <c r="B41" s="75" t="str">
        <f>高装高套!A8</f>
        <v>吴广仁</v>
      </c>
      <c r="C41" s="75">
        <v>1</v>
      </c>
      <c r="D41" s="75">
        <f>高装高套!B8</f>
        <v>0</v>
      </c>
      <c r="E41" s="76">
        <f ca="1">VLOOKUP(B:B,完美一单!A:C,3,0)</f>
        <v>0</v>
      </c>
      <c r="F41" s="76">
        <f ca="1">VLOOKUP(B:B,激励!A:B,2,0)</f>
        <v>0</v>
      </c>
      <c r="G41"/>
      <c r="J41" s="95"/>
      <c r="K41" s="92" t="s">
        <v>44</v>
      </c>
      <c r="L41" s="93">
        <v>30</v>
      </c>
      <c r="M41" s="93">
        <f>交付高装!D8</f>
        <v>3</v>
      </c>
      <c r="N41" s="94">
        <f>交付高装!E8</f>
        <v>0.1</v>
      </c>
      <c r="O41"/>
      <c r="P41" s="80" t="s">
        <v>69</v>
      </c>
      <c r="Q41" s="81">
        <v>2.41</v>
      </c>
      <c r="R41" s="81">
        <f ca="1">ROUND(_xlfn.XLOOKUP(P41,高套!A:A,高套!B:B,0)/U5,2)</f>
        <v>1.9</v>
      </c>
      <c r="S41" s="82">
        <f ca="1" t="shared" si="11"/>
        <v>0.788381742738589</v>
      </c>
      <c r="T41" s="83">
        <f ca="1">RANK(S41,S35:S43)</f>
        <v>7</v>
      </c>
    </row>
    <row r="42" ht="13.5" customHeight="1" spans="1:20">
      <c r="A42" s="97"/>
      <c r="B42" s="85" t="str">
        <f>高装高套!A9</f>
        <v>王洪明</v>
      </c>
      <c r="C42" s="85">
        <v>1</v>
      </c>
      <c r="D42" s="85">
        <f>高装高套!B9</f>
        <v>0</v>
      </c>
      <c r="E42" s="86">
        <f ca="1">VLOOKUP(B:B,完美一单!A:C,3,0)</f>
        <v>0</v>
      </c>
      <c r="F42" s="86">
        <f ca="1">VLOOKUP(B:B,激励!A:B,2,0)</f>
        <v>25</v>
      </c>
      <c r="G42"/>
      <c r="J42" s="95"/>
      <c r="K42" s="92" t="s">
        <v>45</v>
      </c>
      <c r="L42" s="93">
        <v>30</v>
      </c>
      <c r="M42" s="93">
        <f>交付高装!D9</f>
        <v>9</v>
      </c>
      <c r="N42" s="94">
        <f>交付高装!E9</f>
        <v>0.3</v>
      </c>
      <c r="O42"/>
      <c r="P42" s="80" t="s">
        <v>70</v>
      </c>
      <c r="Q42" s="88">
        <v>3.22</v>
      </c>
      <c r="R42" s="88">
        <f ca="1">ROUND(_xlfn.XLOOKUP(P42,高套!A:A,高套!B:B,0)/U5,2)</f>
        <v>2.8</v>
      </c>
      <c r="S42" s="82">
        <f ca="1" t="shared" si="11"/>
        <v>0.869565217391304</v>
      </c>
      <c r="T42" s="89">
        <f ca="1">RANK(S42,S35:S43)</f>
        <v>5</v>
      </c>
    </row>
    <row r="43" ht="16.5" customHeight="1" spans="1:20">
      <c r="A43" s="98" t="s">
        <v>37</v>
      </c>
      <c r="B43" s="99"/>
      <c r="C43" s="98">
        <f>SUM(C35:C42)</f>
        <v>8</v>
      </c>
      <c r="D43" s="98">
        <f>SUM(D35:D42)</f>
        <v>1</v>
      </c>
      <c r="E43" s="98">
        <f ca="1">SUM(E35:E42)</f>
        <v>143</v>
      </c>
      <c r="F43" s="98" t="s">
        <v>42</v>
      </c>
      <c r="G43"/>
      <c r="J43" s="95"/>
      <c r="K43" s="92" t="s">
        <v>46</v>
      </c>
      <c r="L43" s="93">
        <v>30</v>
      </c>
      <c r="M43" s="93">
        <f>交付高装!D10</f>
        <v>0</v>
      </c>
      <c r="N43" s="94">
        <f>交付高装!E10</f>
        <v>0</v>
      </c>
      <c r="O43"/>
      <c r="P43" s="80" t="s">
        <v>71</v>
      </c>
      <c r="Q43" s="81">
        <v>3.36</v>
      </c>
      <c r="R43" s="81">
        <f ca="1">ROUND(_xlfn.XLOOKUP(P43,高套!A:A,高套!B:B,0)/U5,2)</f>
        <v>4.19</v>
      </c>
      <c r="S43" s="82">
        <f ca="1" t="shared" si="11"/>
        <v>1.24702380952381</v>
      </c>
      <c r="T43" s="83">
        <f ca="1">RANK(S43,S35:S43)</f>
        <v>2</v>
      </c>
    </row>
    <row r="44" ht="14.75" customHeight="1" spans="1:20">
      <c r="F44"/>
      <c r="G44"/>
      <c r="J44" s="95"/>
      <c r="K44" s="92" t="s">
        <v>47</v>
      </c>
      <c r="L44" s="93">
        <v>30</v>
      </c>
      <c r="M44" s="93">
        <f>交付高装!D11</f>
        <v>10</v>
      </c>
      <c r="N44" s="94">
        <f>交付高装!E11</f>
        <v>0.333333333333333</v>
      </c>
      <c r="O44"/>
      <c r="P44" s="100" t="s">
        <v>72</v>
      </c>
      <c r="Q44" s="101">
        <f>SUM(Q35:Q43)</f>
        <v>31.46</v>
      </c>
      <c r="R44" s="101">
        <f ca="1">SUM(R35:R43)</f>
        <v>35.79</v>
      </c>
      <c r="S44" s="102">
        <f ca="1" t="shared" si="11"/>
        <v>1.13763509218055</v>
      </c>
      <c r="T44" s="103" t="s">
        <v>73</v>
      </c>
    </row>
    <row r="45" ht="13.5" customHeight="1" spans="1:20">
      <c r="F45"/>
      <c r="G45"/>
      <c r="J45" s="95"/>
      <c r="K45" s="92" t="s">
        <v>48</v>
      </c>
      <c r="L45" s="93">
        <v>30</v>
      </c>
      <c r="M45" s="93">
        <f>交付高装!D12</f>
        <v>3</v>
      </c>
      <c r="N45" s="94">
        <f>交付高装!E12</f>
        <v>0.1</v>
      </c>
      <c r="O45"/>
    </row>
    <row r="46" ht="13.5" customHeight="1" spans="1:20">
      <c r="F46"/>
      <c r="G46"/>
      <c r="J46" s="104"/>
      <c r="K46" s="105" t="s">
        <v>74</v>
      </c>
      <c r="L46" s="93">
        <v>210</v>
      </c>
      <c r="M46" s="93">
        <f>SUM(M35:M38)</f>
        <v>54</v>
      </c>
      <c r="N46" s="94">
        <f>M46/L46</f>
        <v>0.257142857142857</v>
      </c>
      <c r="O46"/>
    </row>
    <row r="47" ht="13.5" customHeight="1"/>
    <row r="48" ht="13.5" customHeight="1" spans="1:20">
      <c r="D48"/>
      <c r="E48"/>
      <c r="F48"/>
      <c r="G48"/>
      <c r="I48"/>
      <c r="J48"/>
      <c r="K48"/>
      <c r="O48"/>
    </row>
    <row r="49" ht="13.5" customHeight="1" spans="1:15">
      <c r="D49"/>
      <c r="E49"/>
      <c r="F49"/>
      <c r="G49"/>
      <c r="I49"/>
      <c r="J49"/>
      <c r="K49"/>
    </row>
    <row r="50" ht="13.5" customHeight="1" spans="1:15">
      <c r="A50" s="1" t="s">
        <v>75</v>
      </c>
      <c r="B50" s="1" t="s">
        <v>76</v>
      </c>
      <c r="C50" s="1" t="s">
        <v>77</v>
      </c>
      <c r="D50" s="1" t="s">
        <v>78</v>
      </c>
      <c r="E50"/>
      <c r="F50"/>
      <c r="G50"/>
      <c r="I50"/>
      <c r="J50"/>
      <c r="K50"/>
    </row>
    <row r="51" ht="14.75" customHeight="1" spans="1:15">
      <c r="A51" s="2">
        <f>积分!A2</f>
        <v>11117.68</v>
      </c>
      <c r="B51" s="2">
        <f>积分!B2</f>
        <v>8941.02</v>
      </c>
      <c r="C51" s="2">
        <f>积分!C2</f>
        <v>2010</v>
      </c>
      <c r="D51" s="2">
        <f>积分!D2</f>
        <v>0.89</v>
      </c>
      <c r="E51"/>
      <c r="F51"/>
      <c r="G51"/>
      <c r="I51"/>
      <c r="J51"/>
      <c r="K51"/>
    </row>
    <row r="52" spans="1:15">
      <c r="D52"/>
      <c r="E52"/>
      <c r="F52"/>
      <c r="G52"/>
      <c r="I52"/>
      <c r="J52"/>
      <c r="K52"/>
    </row>
    <row r="53" spans="1:15">
      <c r="D53"/>
      <c r="E53"/>
      <c r="F53"/>
      <c r="G53"/>
      <c r="I53"/>
      <c r="J53"/>
      <c r="K53"/>
    </row>
    <row r="54" spans="1:15">
      <c r="D54"/>
      <c r="E54"/>
      <c r="F54"/>
      <c r="G54"/>
      <c r="I54"/>
      <c r="J54"/>
      <c r="K54"/>
    </row>
    <row r="55" spans="1:15">
      <c r="D55"/>
      <c r="E55"/>
      <c r="F55"/>
      <c r="G55"/>
      <c r="I55"/>
      <c r="J55"/>
      <c r="K55"/>
    </row>
    <row r="56" ht="13.5" customHeight="1" spans="1:15">
      <c r="D56"/>
      <c r="E56"/>
      <c r="F56"/>
      <c r="G56"/>
      <c r="I56"/>
      <c r="J56"/>
      <c r="K56"/>
    </row>
    <row r="57" spans="1:15">
      <c r="D57"/>
      <c r="E57"/>
      <c r="F57"/>
      <c r="G57"/>
      <c r="I57"/>
      <c r="J57"/>
      <c r="K57"/>
    </row>
    <row r="58" spans="1:15">
      <c r="D58"/>
      <c r="E58"/>
      <c r="F58"/>
      <c r="G58"/>
      <c r="I58"/>
      <c r="J58"/>
      <c r="K58"/>
    </row>
    <row r="59" spans="1:15">
      <c r="D59"/>
      <c r="E59"/>
      <c r="F59"/>
      <c r="G59"/>
      <c r="I59"/>
      <c r="J59"/>
      <c r="K59"/>
      <c r="O59"/>
    </row>
    <row r="60" spans="1:15">
      <c r="D60"/>
      <c r="E60"/>
      <c r="F60"/>
      <c r="G60"/>
      <c r="I60"/>
      <c r="J60"/>
      <c r="K60"/>
      <c r="O60"/>
    </row>
    <row r="61" spans="1:15">
      <c r="D61"/>
      <c r="E61"/>
      <c r="F61"/>
      <c r="G61"/>
      <c r="I61"/>
      <c r="J61"/>
      <c r="K61"/>
      <c r="O61"/>
    </row>
    <row r="62" spans="1:15">
      <c r="D62"/>
      <c r="E62"/>
      <c r="F62"/>
      <c r="G62"/>
      <c r="I62"/>
      <c r="J62"/>
      <c r="K62"/>
      <c r="O62"/>
    </row>
    <row r="63" spans="1:15">
      <c r="D63"/>
      <c r="E63"/>
      <c r="F63"/>
      <c r="G63"/>
      <c r="I63"/>
      <c r="J63"/>
      <c r="K63"/>
      <c r="O63"/>
    </row>
    <row r="64" spans="1:15">
      <c r="D64"/>
      <c r="E64"/>
      <c r="F64"/>
      <c r="G64"/>
      <c r="I64"/>
      <c r="J64"/>
      <c r="K64"/>
      <c r="O64"/>
    </row>
    <row r="65" ht="13.5" customHeight="1" spans="4:15">
      <c r="D65"/>
      <c r="E65"/>
      <c r="F65"/>
      <c r="G65"/>
      <c r="I65"/>
      <c r="J65"/>
      <c r="K65"/>
      <c r="O65"/>
    </row>
    <row r="66" ht="13.5" customHeight="1" spans="4:15">
      <c r="D66"/>
      <c r="E66"/>
      <c r="F66"/>
      <c r="G66"/>
      <c r="I66"/>
      <c r="J66"/>
      <c r="K66"/>
      <c r="O66"/>
    </row>
    <row r="67" spans="4:15">
      <c r="D67"/>
      <c r="E67"/>
      <c r="F67"/>
      <c r="G67"/>
      <c r="I67"/>
      <c r="J67"/>
      <c r="K67"/>
      <c r="O67"/>
    </row>
    <row r="68" ht="13.5" customHeight="1" spans="4:15">
      <c r="D68"/>
      <c r="E68"/>
      <c r="F68"/>
      <c r="G68"/>
      <c r="I68"/>
      <c r="J68"/>
      <c r="K68"/>
      <c r="O68"/>
    </row>
    <row r="69" customFormat="1" ht="13.5" customHeight="1"/>
    <row r="70" ht="13.5" customHeight="1" spans="4:15">
      <c r="D70"/>
      <c r="E70"/>
      <c r="F70"/>
      <c r="G70"/>
      <c r="I70"/>
      <c r="J70"/>
      <c r="K70"/>
      <c r="O70"/>
    </row>
    <row r="71" spans="4:15">
      <c r="D71"/>
      <c r="E71"/>
      <c r="F71"/>
      <c r="G71"/>
      <c r="I71"/>
      <c r="J71"/>
      <c r="K71"/>
      <c r="O71"/>
    </row>
    <row r="72" spans="4:15">
      <c r="D72"/>
      <c r="E72"/>
      <c r="F72"/>
      <c r="G72"/>
      <c r="I72"/>
      <c r="J72"/>
      <c r="K72"/>
      <c r="O72"/>
    </row>
    <row r="73" spans="4:15">
      <c r="D73"/>
      <c r="E73"/>
      <c r="F73"/>
      <c r="G73"/>
      <c r="I73"/>
      <c r="J73"/>
      <c r="K73"/>
      <c r="O73"/>
    </row>
    <row r="74" spans="4:15">
      <c r="D74"/>
      <c r="E74"/>
      <c r="F74"/>
      <c r="G74"/>
      <c r="I74"/>
      <c r="J74"/>
      <c r="K74"/>
      <c r="O74"/>
    </row>
    <row r="75" ht="13.5" customHeight="1" spans="4:15">
      <c r="D75"/>
      <c r="E75"/>
      <c r="F75"/>
      <c r="G75"/>
      <c r="I75"/>
      <c r="J75"/>
      <c r="K75"/>
      <c r="O75"/>
    </row>
    <row r="76" spans="4:15">
      <c r="D76"/>
      <c r="E76"/>
      <c r="F76"/>
      <c r="G76"/>
      <c r="I76"/>
      <c r="J76"/>
      <c r="K76"/>
      <c r="O76"/>
    </row>
    <row r="77" spans="4:15">
      <c r="D77"/>
      <c r="E77"/>
      <c r="F77"/>
      <c r="G77"/>
      <c r="I77"/>
      <c r="J77"/>
      <c r="K77"/>
      <c r="O77"/>
    </row>
    <row r="78" spans="4:15">
      <c r="D78"/>
      <c r="E78"/>
      <c r="F78"/>
      <c r="G78"/>
      <c r="I78"/>
      <c r="J78"/>
      <c r="K78"/>
      <c r="O78"/>
    </row>
    <row r="79" spans="4:15">
      <c r="D79"/>
      <c r="E79"/>
      <c r="F79"/>
      <c r="G79"/>
      <c r="I79"/>
      <c r="J79"/>
      <c r="K79"/>
      <c r="O79"/>
    </row>
    <row r="80" spans="4:15">
      <c r="D80"/>
      <c r="E80"/>
      <c r="F80"/>
      <c r="G80"/>
      <c r="I80"/>
      <c r="J80"/>
      <c r="K80"/>
      <c r="O80"/>
    </row>
    <row r="81" ht="13.5" customHeight="1" spans="4:15">
      <c r="D81"/>
      <c r="E81"/>
      <c r="F81"/>
      <c r="G81"/>
      <c r="I81"/>
      <c r="J81"/>
      <c r="K81"/>
      <c r="O81"/>
    </row>
    <row r="82" spans="4:15">
      <c r="D82"/>
      <c r="E82"/>
      <c r="F82"/>
      <c r="G82"/>
      <c r="I82"/>
      <c r="J82"/>
      <c r="K82"/>
      <c r="O82"/>
    </row>
    <row r="83" spans="4:15">
      <c r="D83"/>
      <c r="E83"/>
      <c r="F83"/>
      <c r="G83"/>
      <c r="I83"/>
      <c r="J83"/>
      <c r="K83"/>
      <c r="O83"/>
    </row>
    <row r="84" ht="13.5" customHeight="1" spans="4:15">
      <c r="D84"/>
      <c r="E84"/>
      <c r="F84"/>
      <c r="G84"/>
      <c r="I84"/>
      <c r="J84"/>
      <c r="K84"/>
      <c r="O84"/>
    </row>
    <row r="85" ht="52" customHeight="1" spans="4:15">
      <c r="D85"/>
      <c r="E85"/>
      <c r="F85"/>
      <c r="G85"/>
      <c r="I85"/>
      <c r="J85"/>
      <c r="K85"/>
      <c r="O85"/>
    </row>
    <row r="86" ht="13.5" customHeight="1" spans="4:15">
      <c r="D86"/>
      <c r="E86"/>
      <c r="F86"/>
      <c r="G86"/>
      <c r="I86"/>
      <c r="J86"/>
      <c r="K86"/>
      <c r="O86"/>
    </row>
    <row r="87" spans="4:15">
      <c r="D87"/>
      <c r="E87"/>
      <c r="F87"/>
      <c r="G87"/>
      <c r="I87"/>
      <c r="J87"/>
      <c r="K87"/>
      <c r="O87"/>
    </row>
    <row r="88" spans="4:15">
      <c r="D88"/>
      <c r="E88"/>
      <c r="F88"/>
      <c r="G88"/>
      <c r="I88"/>
      <c r="J88"/>
      <c r="K88"/>
      <c r="O88"/>
    </row>
    <row r="89" spans="4:15">
      <c r="D89"/>
      <c r="E89"/>
      <c r="F89"/>
      <c r="G89"/>
      <c r="I89"/>
      <c r="J89"/>
      <c r="K89"/>
      <c r="O89"/>
    </row>
    <row r="90" spans="4:15">
      <c r="D90"/>
      <c r="E90"/>
      <c r="F90"/>
      <c r="G90"/>
      <c r="I90"/>
      <c r="J90"/>
      <c r="K90"/>
      <c r="O90"/>
    </row>
    <row r="91" ht="13.5" customHeight="1" spans="4:15">
      <c r="D91"/>
      <c r="E91"/>
      <c r="F91"/>
      <c r="G91"/>
      <c r="I91"/>
      <c r="J91"/>
      <c r="K91"/>
      <c r="O91"/>
    </row>
    <row r="92" spans="4:15">
      <c r="D92"/>
      <c r="E92"/>
      <c r="F92"/>
      <c r="G92"/>
      <c r="I92"/>
      <c r="J92"/>
      <c r="K92"/>
      <c r="O92"/>
    </row>
    <row r="93" spans="4:15">
      <c r="D93"/>
      <c r="E93"/>
      <c r="F93"/>
      <c r="G93"/>
      <c r="I93"/>
      <c r="J93"/>
      <c r="K93"/>
      <c r="O93"/>
    </row>
    <row r="94" ht="13.5" customHeight="1" spans="4:15">
      <c r="D94"/>
      <c r="E94"/>
      <c r="F94"/>
      <c r="G94"/>
      <c r="I94"/>
      <c r="J94"/>
      <c r="K94"/>
      <c r="O94"/>
    </row>
    <row r="95" ht="13.5" customHeight="1" spans="4:15">
      <c r="D95"/>
      <c r="E95"/>
      <c r="F95"/>
      <c r="G95"/>
      <c r="I95"/>
      <c r="J95"/>
      <c r="K95"/>
      <c r="O95"/>
    </row>
    <row r="96" spans="4:15">
      <c r="D96"/>
      <c r="E96"/>
      <c r="F96"/>
      <c r="G96"/>
      <c r="I96"/>
      <c r="J96"/>
      <c r="K96"/>
      <c r="O96"/>
    </row>
    <row r="97" spans="4:15">
      <c r="D97"/>
      <c r="E97"/>
      <c r="F97"/>
      <c r="G97"/>
      <c r="I97"/>
      <c r="J97"/>
      <c r="K97"/>
      <c r="O97"/>
    </row>
    <row r="98" ht="13.5" customHeight="1" spans="4:15">
      <c r="D98"/>
      <c r="E98"/>
      <c r="F98"/>
      <c r="G98"/>
      <c r="I98"/>
      <c r="J98"/>
      <c r="K98"/>
      <c r="O98"/>
    </row>
    <row r="99" ht="52" customHeight="1" spans="4:15">
      <c r="D99"/>
      <c r="E99"/>
      <c r="F99"/>
      <c r="G99"/>
      <c r="I99"/>
      <c r="J99"/>
      <c r="K99"/>
      <c r="O99"/>
    </row>
    <row r="100" ht="13.5" customHeight="1" spans="4:15">
      <c r="D100"/>
      <c r="E100"/>
      <c r="F100"/>
      <c r="G100"/>
      <c r="I100"/>
      <c r="J100"/>
      <c r="K100"/>
      <c r="O100"/>
    </row>
    <row r="101" spans="4:15">
      <c r="D101"/>
      <c r="E101"/>
      <c r="F101"/>
      <c r="G101"/>
      <c r="I101"/>
      <c r="J101"/>
      <c r="K101"/>
      <c r="O101"/>
    </row>
    <row r="102" spans="4:15">
      <c r="D102"/>
      <c r="E102"/>
      <c r="F102"/>
      <c r="G102"/>
      <c r="I102"/>
      <c r="J102"/>
      <c r="K102"/>
      <c r="O102"/>
    </row>
    <row r="103" spans="4:15">
      <c r="D103"/>
      <c r="E103"/>
      <c r="F103"/>
      <c r="G103"/>
      <c r="I103"/>
      <c r="J103"/>
      <c r="K103"/>
      <c r="O103"/>
    </row>
    <row r="104" spans="4:15">
      <c r="D104"/>
      <c r="E104"/>
      <c r="F104"/>
      <c r="G104"/>
      <c r="I104"/>
      <c r="J104"/>
      <c r="K104"/>
      <c r="O104"/>
    </row>
  </sheetData>
  <mergeCells count="29">
    <mergeCell ref="B1:R1"/>
    <mergeCell ref="B2:I2"/>
    <mergeCell ref="J2:O2"/>
    <mergeCell ref="P2:R2"/>
    <mergeCell ref="A30:B30"/>
    <mergeCell ref="A33:F33"/>
    <mergeCell ref="J33:N33"/>
    <mergeCell ref="P33:T33"/>
    <mergeCell ref="A43:B43"/>
    <mergeCell ref="A1:A3"/>
    <mergeCell ref="A4:A11"/>
    <mergeCell ref="A12:A19"/>
    <mergeCell ref="A22:A29"/>
    <mergeCell ref="A35:A42"/>
    <mergeCell ref="C20:C21"/>
    <mergeCell ref="D20:D21"/>
    <mergeCell ref="E20:E21"/>
    <mergeCell ref="F20:F21"/>
    <mergeCell ref="G20:G21"/>
    <mergeCell ref="H20:H21"/>
    <mergeCell ref="I20:I21"/>
    <mergeCell ref="J20:J21"/>
    <mergeCell ref="J35:J38"/>
    <mergeCell ref="J39:J46"/>
    <mergeCell ref="K20:K21"/>
    <mergeCell ref="L20:L21"/>
    <mergeCell ref="M20:M21"/>
    <mergeCell ref="N20:N21"/>
    <mergeCell ref="A20:B21"/>
  </mergeCells>
  <conditionalFormatting sqref="F20">
    <cfRule type="cellIs" dxfId="0" priority="12" operator="equal">
      <formula>"是"</formula>
    </cfRule>
  </conditionalFormatting>
  <conditionalFormatting sqref="H4:H18">
    <cfRule type="cellIs" dxfId="0" priority="13" operator="equal">
      <formula>"是"</formula>
    </cfRule>
  </conditionalFormatting>
  <conditionalFormatting sqref="S35:S43">
    <cfRule type="dataBar" priority="1">
      <dataBar>
        <cfvo type="num" val="0"/>
        <cfvo type="num" val="1"/>
        <color rgb="FF2E75B6"/>
      </dataBar>
      <extLst>
        <ext xmlns:x14="http://schemas.microsoft.com/office/spreadsheetml/2009/9/main" uri="{B025F937-C7B1-47D3-B67F-A62EFF666E3E}">
          <x14:id>{1fcb02ed-b02e-466f-b96e-b7e4bb01a4ef}</x14:id>
        </ext>
      </extLst>
    </cfRule>
    <cfRule type="expression" dxfId="1" priority="2">
      <formula>AND(S35&lt;1,S35&lt;&gt;"")</formula>
    </cfRule>
  </conditionalFormatting>
  <pageMargins left="0.75" right="0.75" top="1" bottom="1" header="0.5" footer="0.5"/>
  <pageSetup paperSize="9" scale="44" orientation="portrait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fcb02ed-b02e-466f-b96e-b7e4bb01a4ef}">
            <x14:dataBar minLength="10" maxLength="90" negativeBarColorSameAsPositive="1" axisPosition="none">
              <x14:cfvo type="num">
                <xm:f>0</xm:f>
              </x14:cfvo>
              <x14:cfvo type="num">
                <xm:f>1</xm:f>
              </x14:cfvo>
              <x14:axisColor indexed="65"/>
            </x14:dataBar>
          </x14:cfRule>
          <xm:sqref>S35:S43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4"/>
  <sheetViews>
    <sheetView workbookViewId="0">
      <selection activeCell="A1" sqref="A1"/>
    </sheetView>
  </sheetViews>
  <sheetFormatPr defaultColWidth="9" defaultRowHeight="14" outlineLevelCol="1"/>
  <sheetData>
    <row r="1" spans="1:2">
      <c r="A1" s="3" t="s">
        <v>52</v>
      </c>
      <c r="B1" s="3" t="s">
        <v>79</v>
      </c>
    </row>
    <row r="2" spans="1:2">
      <c r="A2" t="s">
        <v>21</v>
      </c>
      <c r="B2">
        <v>0</v>
      </c>
    </row>
    <row r="3" spans="1:2">
      <c r="A3" t="s">
        <v>22</v>
      </c>
      <c r="B3">
        <v>0</v>
      </c>
    </row>
    <row r="4" spans="1:2">
      <c r="A4" t="s">
        <v>23</v>
      </c>
      <c r="B4">
        <v>3</v>
      </c>
    </row>
    <row r="5" spans="1:2">
      <c r="A5" t="s">
        <v>24</v>
      </c>
      <c r="B5">
        <v>26.5</v>
      </c>
    </row>
    <row r="6" spans="1:2">
      <c r="A6" t="s">
        <v>25</v>
      </c>
      <c r="B6">
        <v>18.33</v>
      </c>
    </row>
    <row r="7" spans="1:2">
      <c r="A7" t="s">
        <v>26</v>
      </c>
      <c r="B7">
        <v>9.52</v>
      </c>
    </row>
    <row r="8" spans="1:2">
      <c r="A8" t="s">
        <v>27</v>
      </c>
      <c r="B8">
        <v>2.5</v>
      </c>
    </row>
    <row r="9" spans="1:2">
      <c r="A9" t="s">
        <v>30</v>
      </c>
      <c r="B9">
        <v>0</v>
      </c>
    </row>
    <row r="10" spans="1:2">
      <c r="A10" t="s">
        <v>31</v>
      </c>
      <c r="B10">
        <v>5</v>
      </c>
    </row>
    <row r="11" spans="1:2">
      <c r="A11" t="s">
        <v>32</v>
      </c>
      <c r="B11">
        <v>2</v>
      </c>
    </row>
    <row r="12" spans="1:2">
      <c r="A12" t="s">
        <v>33</v>
      </c>
      <c r="B12">
        <v>6.5</v>
      </c>
    </row>
    <row r="13" spans="1:2">
      <c r="A13" t="s">
        <v>34</v>
      </c>
      <c r="B13">
        <v>11.5</v>
      </c>
    </row>
    <row r="14" spans="1:2">
      <c r="A14" t="s">
        <v>35</v>
      </c>
      <c r="B14">
        <v>9.94</v>
      </c>
    </row>
    <row r="15" spans="1:2">
      <c r="A15" t="s">
        <v>36</v>
      </c>
      <c r="B15">
        <v>0.75</v>
      </c>
    </row>
    <row r="16" spans="1:2">
      <c r="A16" t="s">
        <v>39</v>
      </c>
      <c r="B16">
        <v>95.54</v>
      </c>
    </row>
    <row r="17" spans="1:2">
      <c r="A17" t="s">
        <v>62</v>
      </c>
      <c r="B17">
        <v>134.28</v>
      </c>
    </row>
    <row r="18" spans="1:2">
      <c r="A18" t="s">
        <v>64</v>
      </c>
      <c r="B18">
        <v>300.69</v>
      </c>
    </row>
    <row r="19" spans="1:2">
      <c r="A19" t="s">
        <v>70</v>
      </c>
      <c r="B19">
        <v>84.02</v>
      </c>
    </row>
    <row r="20" spans="1:2">
      <c r="A20" t="s">
        <v>71</v>
      </c>
      <c r="B20">
        <v>125.64</v>
      </c>
    </row>
    <row r="21" spans="1:2">
      <c r="A21" t="s">
        <v>66</v>
      </c>
      <c r="B21">
        <v>123.63</v>
      </c>
    </row>
    <row r="22" spans="1:2">
      <c r="A22" t="s">
        <v>68</v>
      </c>
      <c r="B22">
        <v>67.6</v>
      </c>
    </row>
    <row r="23" spans="1:2">
      <c r="A23" t="s">
        <v>67</v>
      </c>
      <c r="B23">
        <v>85.52</v>
      </c>
    </row>
    <row r="24" spans="1:2">
      <c r="A24" t="s">
        <v>69</v>
      </c>
      <c r="B24">
        <v>57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6"/>
  <sheetViews>
    <sheetView workbookViewId="0">
      <selection activeCell="A1" sqref="A1"/>
    </sheetView>
  </sheetViews>
  <sheetFormatPr defaultColWidth="9" defaultRowHeight="14" outlineLevelCol="1"/>
  <sheetData>
    <row r="1" spans="1:2">
      <c r="A1" s="3" t="s">
        <v>52</v>
      </c>
      <c r="B1" s="3" t="s">
        <v>18</v>
      </c>
    </row>
    <row r="2" spans="1:2">
      <c r="A2" t="s">
        <v>21</v>
      </c>
      <c r="B2">
        <v>0</v>
      </c>
    </row>
    <row r="3" spans="1:2">
      <c r="A3" t="s">
        <v>22</v>
      </c>
      <c r="B3">
        <v>0</v>
      </c>
    </row>
    <row r="4" spans="1:2">
      <c r="A4" t="s">
        <v>23</v>
      </c>
      <c r="B4">
        <v>9</v>
      </c>
    </row>
    <row r="5" spans="1:2">
      <c r="A5" t="s">
        <v>24</v>
      </c>
      <c r="B5">
        <v>0</v>
      </c>
    </row>
    <row r="6" spans="1:2">
      <c r="A6" t="s">
        <v>25</v>
      </c>
      <c r="B6">
        <v>0</v>
      </c>
    </row>
    <row r="7" spans="1:2">
      <c r="A7" t="s">
        <v>26</v>
      </c>
      <c r="B7">
        <v>9</v>
      </c>
    </row>
    <row r="8" spans="1:2">
      <c r="A8" t="s">
        <v>27</v>
      </c>
      <c r="B8">
        <v>5</v>
      </c>
    </row>
    <row r="9" spans="1:2">
      <c r="A9" t="s">
        <v>30</v>
      </c>
      <c r="B9">
        <v>0</v>
      </c>
    </row>
    <row r="10" spans="1:2">
      <c r="A10" t="s">
        <v>31</v>
      </c>
      <c r="B10">
        <v>0</v>
      </c>
    </row>
    <row r="11" spans="1:2">
      <c r="A11" t="s">
        <v>32</v>
      </c>
      <c r="B11">
        <v>3</v>
      </c>
    </row>
    <row r="12" spans="1:2">
      <c r="A12" t="s">
        <v>33</v>
      </c>
      <c r="B12">
        <v>15</v>
      </c>
    </row>
    <row r="13" spans="1:2">
      <c r="A13" t="s">
        <v>34</v>
      </c>
      <c r="B13">
        <v>10</v>
      </c>
    </row>
    <row r="14" spans="1:2">
      <c r="A14" t="s">
        <v>35</v>
      </c>
      <c r="B14">
        <v>3</v>
      </c>
    </row>
    <row r="15" spans="1:2">
      <c r="A15" t="s">
        <v>36</v>
      </c>
      <c r="B15">
        <v>0</v>
      </c>
    </row>
    <row r="16" spans="1:2">
      <c r="A16" t="s">
        <v>39</v>
      </c>
      <c r="B16">
        <v>233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3"/>
  <sheetViews>
    <sheetView workbookViewId="0">
      <selection activeCell="A1" sqref="A1"/>
    </sheetView>
  </sheetViews>
  <sheetFormatPr defaultColWidth="9" defaultRowHeight="14" outlineLevelCol="3"/>
  <sheetData>
    <row r="1" spans="1:4">
      <c r="A1" s="3" t="s">
        <v>52</v>
      </c>
      <c r="B1" s="3" t="s">
        <v>1</v>
      </c>
      <c r="C1" s="3" t="s">
        <v>13</v>
      </c>
      <c r="D1" s="3" t="s">
        <v>80</v>
      </c>
    </row>
    <row r="2" spans="1:4">
      <c r="A2" t="s">
        <v>21</v>
      </c>
      <c r="B2">
        <v>1.5</v>
      </c>
      <c r="C2">
        <v>282</v>
      </c>
      <c r="D2">
        <v>282</v>
      </c>
    </row>
    <row r="3" spans="1:4">
      <c r="A3" t="s">
        <v>22</v>
      </c>
      <c r="B3">
        <v>0.5</v>
      </c>
      <c r="C3">
        <v>287</v>
      </c>
      <c r="D3">
        <v>271</v>
      </c>
    </row>
    <row r="4" spans="1:4">
      <c r="A4" t="s">
        <v>23</v>
      </c>
      <c r="B4">
        <v>3</v>
      </c>
      <c r="C4">
        <v>2291.29</v>
      </c>
      <c r="D4">
        <v>738</v>
      </c>
    </row>
    <row r="5" spans="1:4">
      <c r="A5" t="s">
        <v>24</v>
      </c>
      <c r="B5">
        <v>27.5</v>
      </c>
      <c r="C5">
        <v>758</v>
      </c>
      <c r="D5">
        <v>488</v>
      </c>
    </row>
    <row r="6" spans="1:4">
      <c r="A6" t="s">
        <v>25</v>
      </c>
      <c r="B6">
        <v>19.83</v>
      </c>
      <c r="C6">
        <v>1766.66</v>
      </c>
      <c r="D6">
        <v>666.66</v>
      </c>
    </row>
    <row r="7" spans="1:4">
      <c r="A7" t="s">
        <v>26</v>
      </c>
      <c r="B7">
        <v>9.52</v>
      </c>
      <c r="C7">
        <v>2182</v>
      </c>
      <c r="D7">
        <v>1293</v>
      </c>
    </row>
    <row r="8" spans="1:4">
      <c r="A8" t="s">
        <v>27</v>
      </c>
      <c r="B8">
        <v>5.5</v>
      </c>
      <c r="C8">
        <v>1254.03</v>
      </c>
      <c r="D8">
        <v>834</v>
      </c>
    </row>
    <row r="9" spans="1:4">
      <c r="A9" t="s">
        <v>30</v>
      </c>
      <c r="B9">
        <v>0.5</v>
      </c>
      <c r="C9">
        <v>63</v>
      </c>
      <c r="D9">
        <v>29</v>
      </c>
    </row>
    <row r="10" spans="1:4">
      <c r="A10" t="s">
        <v>31</v>
      </c>
      <c r="B10">
        <v>6</v>
      </c>
      <c r="C10">
        <v>689</v>
      </c>
      <c r="D10">
        <v>649</v>
      </c>
    </row>
    <row r="11" spans="1:4">
      <c r="A11" t="s">
        <v>32</v>
      </c>
      <c r="B11">
        <v>3</v>
      </c>
      <c r="C11">
        <v>387</v>
      </c>
      <c r="D11">
        <v>299</v>
      </c>
    </row>
    <row r="12" spans="1:4">
      <c r="A12" t="s">
        <v>33</v>
      </c>
      <c r="B12">
        <v>6.5</v>
      </c>
      <c r="C12">
        <v>2117.76</v>
      </c>
      <c r="D12">
        <v>1604</v>
      </c>
    </row>
    <row r="13" spans="1:4">
      <c r="A13" t="s">
        <v>34</v>
      </c>
      <c r="B13">
        <v>13</v>
      </c>
      <c r="C13">
        <v>2096</v>
      </c>
      <c r="D13">
        <v>1793</v>
      </c>
    </row>
    <row r="14" spans="1:4">
      <c r="A14" t="s">
        <v>35</v>
      </c>
      <c r="B14">
        <v>9.94</v>
      </c>
      <c r="C14">
        <v>1415</v>
      </c>
      <c r="D14">
        <v>938</v>
      </c>
    </row>
    <row r="15" spans="1:4">
      <c r="A15" t="s">
        <v>36</v>
      </c>
      <c r="B15">
        <v>0.75</v>
      </c>
      <c r="C15">
        <v>154.92</v>
      </c>
      <c r="D15">
        <v>30</v>
      </c>
    </row>
    <row r="16" spans="1:4">
      <c r="A16" t="s">
        <v>41</v>
      </c>
      <c r="B16">
        <v>0</v>
      </c>
      <c r="C16">
        <v>0</v>
      </c>
      <c r="D16">
        <v>0</v>
      </c>
    </row>
    <row r="17" spans="1:4">
      <c r="A17" t="s">
        <v>43</v>
      </c>
      <c r="B17">
        <v>0</v>
      </c>
      <c r="C17">
        <v>0</v>
      </c>
      <c r="D17">
        <v>0</v>
      </c>
    </row>
    <row r="18" spans="1:4">
      <c r="A18" t="s">
        <v>44</v>
      </c>
      <c r="B18">
        <v>0</v>
      </c>
      <c r="C18">
        <v>0</v>
      </c>
      <c r="D18">
        <v>0</v>
      </c>
    </row>
    <row r="19" spans="1:4">
      <c r="A19" t="s">
        <v>45</v>
      </c>
      <c r="B19">
        <v>1</v>
      </c>
      <c r="C19">
        <v>143</v>
      </c>
      <c r="D19">
        <v>143</v>
      </c>
    </row>
    <row r="20" spans="1:4">
      <c r="A20" t="s">
        <v>46</v>
      </c>
      <c r="B20">
        <v>0</v>
      </c>
      <c r="C20">
        <v>0</v>
      </c>
      <c r="D20">
        <v>0</v>
      </c>
    </row>
    <row r="21" spans="1:4">
      <c r="A21" t="s">
        <v>47</v>
      </c>
      <c r="B21">
        <v>0</v>
      </c>
      <c r="C21">
        <v>0</v>
      </c>
      <c r="D21">
        <v>0</v>
      </c>
    </row>
    <row r="22" spans="1:4">
      <c r="A22" t="s">
        <v>48</v>
      </c>
      <c r="B22">
        <v>0</v>
      </c>
      <c r="C22">
        <v>0</v>
      </c>
      <c r="D22">
        <v>0</v>
      </c>
    </row>
    <row r="23" spans="1:4">
      <c r="A23" t="s">
        <v>49</v>
      </c>
      <c r="B23">
        <v>0</v>
      </c>
      <c r="C23">
        <v>0</v>
      </c>
      <c r="D23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9"/>
  <sheetViews>
    <sheetView workbookViewId="0">
      <selection activeCell="B34" sqref="B34"/>
    </sheetView>
  </sheetViews>
  <sheetFormatPr defaultColWidth="8.72727272727273" defaultRowHeight="14" outlineLevelCol="2"/>
  <sheetData>
    <row r="1" spans="1:3">
      <c r="A1" s="3" t="s">
        <v>52</v>
      </c>
      <c r="B1" s="3" t="s">
        <v>79</v>
      </c>
      <c r="C1" t="s">
        <v>53</v>
      </c>
    </row>
    <row r="2" spans="1:3">
      <c r="A2" t="s">
        <v>41</v>
      </c>
      <c r="B2">
        <v>0</v>
      </c>
      <c r="C2">
        <v>1</v>
      </c>
    </row>
    <row r="3" spans="1:3">
      <c r="A3" t="s">
        <v>43</v>
      </c>
      <c r="B3">
        <v>0</v>
      </c>
      <c r="C3">
        <v>1</v>
      </c>
    </row>
    <row r="4" spans="1:3">
      <c r="A4" t="s">
        <v>44</v>
      </c>
      <c r="B4">
        <v>0</v>
      </c>
      <c r="C4">
        <v>1</v>
      </c>
    </row>
    <row r="5" spans="1:3">
      <c r="A5" t="s">
        <v>45</v>
      </c>
      <c r="B5">
        <v>1</v>
      </c>
      <c r="C5">
        <v>1</v>
      </c>
    </row>
    <row r="6" spans="1:3">
      <c r="A6" t="s">
        <v>46</v>
      </c>
      <c r="B6">
        <v>0</v>
      </c>
      <c r="C6">
        <v>1</v>
      </c>
    </row>
    <row r="7" spans="1:3">
      <c r="A7" t="s">
        <v>47</v>
      </c>
      <c r="B7">
        <v>0</v>
      </c>
      <c r="C7">
        <v>1</v>
      </c>
    </row>
    <row r="8" spans="1:3">
      <c r="A8" t="s">
        <v>48</v>
      </c>
      <c r="B8">
        <v>0</v>
      </c>
      <c r="C8">
        <v>1</v>
      </c>
    </row>
    <row r="9" spans="1:3">
      <c r="A9" t="s">
        <v>49</v>
      </c>
      <c r="B9">
        <v>0</v>
      </c>
      <c r="C9">
        <v>1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5"/>
  <sheetViews>
    <sheetView workbookViewId="0">
      <selection activeCell="A1" sqref="A1"/>
    </sheetView>
  </sheetViews>
  <sheetFormatPr defaultColWidth="9" defaultRowHeight="14" outlineLevelCol="1"/>
  <sheetData>
    <row r="1" spans="1:2">
      <c r="A1" s="3" t="s">
        <v>52</v>
      </c>
      <c r="B1" s="3" t="s">
        <v>79</v>
      </c>
    </row>
    <row r="2" spans="1:2">
      <c r="A2" t="s">
        <v>21</v>
      </c>
      <c r="B2">
        <v>1.5</v>
      </c>
    </row>
    <row r="3" spans="1:2">
      <c r="A3" t="s">
        <v>22</v>
      </c>
      <c r="B3">
        <v>0.5</v>
      </c>
    </row>
    <row r="4" spans="1:2">
      <c r="A4" t="s">
        <v>23</v>
      </c>
      <c r="B4">
        <v>3</v>
      </c>
    </row>
    <row r="5" spans="1:2">
      <c r="A5" t="s">
        <v>24</v>
      </c>
      <c r="B5">
        <v>27.5</v>
      </c>
    </row>
    <row r="6" spans="1:2">
      <c r="A6" t="s">
        <v>25</v>
      </c>
      <c r="B6">
        <v>19.83</v>
      </c>
    </row>
    <row r="7" spans="1:2">
      <c r="A7" t="s">
        <v>26</v>
      </c>
      <c r="B7">
        <v>9.52</v>
      </c>
    </row>
    <row r="8" spans="1:2">
      <c r="A8" t="s">
        <v>27</v>
      </c>
      <c r="B8">
        <v>5.5</v>
      </c>
    </row>
    <row r="9" spans="1:2">
      <c r="A9" t="s">
        <v>30</v>
      </c>
      <c r="B9">
        <v>0.5</v>
      </c>
    </row>
    <row r="10" spans="1:2">
      <c r="A10" t="s">
        <v>31</v>
      </c>
      <c r="B10">
        <v>6</v>
      </c>
    </row>
    <row r="11" spans="1:2">
      <c r="A11" t="s">
        <v>32</v>
      </c>
      <c r="B11">
        <v>3</v>
      </c>
    </row>
    <row r="12" spans="1:2">
      <c r="A12" t="s">
        <v>33</v>
      </c>
      <c r="B12">
        <v>6.5</v>
      </c>
    </row>
    <row r="13" spans="1:2">
      <c r="A13" t="s">
        <v>34</v>
      </c>
      <c r="B13">
        <v>13</v>
      </c>
    </row>
    <row r="14" spans="1:2">
      <c r="A14" t="s">
        <v>35</v>
      </c>
      <c r="B14">
        <v>9.94</v>
      </c>
    </row>
    <row r="15" spans="1:2">
      <c r="A15" t="s">
        <v>36</v>
      </c>
      <c r="B15">
        <v>0.75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5"/>
  <sheetViews>
    <sheetView workbookViewId="0">
      <selection activeCell="H21" sqref="H21"/>
    </sheetView>
  </sheetViews>
  <sheetFormatPr defaultColWidth="8.72727272727273" defaultRowHeight="14"/>
  <sheetData>
    <row r="1" ht="14.75" customHeight="1" spans="1:9">
      <c r="A1" s="10" t="s">
        <v>4</v>
      </c>
      <c r="B1" s="11" t="s">
        <v>81</v>
      </c>
      <c r="C1" s="11" t="s">
        <v>82</v>
      </c>
      <c r="D1" s="12" t="s">
        <v>83</v>
      </c>
      <c r="F1" s="10" t="s">
        <v>4</v>
      </c>
      <c r="G1" s="11" t="s">
        <v>81</v>
      </c>
      <c r="H1" s="11" t="s">
        <v>82</v>
      </c>
      <c r="I1" s="12" t="s">
        <v>83</v>
      </c>
    </row>
    <row r="2" spans="1:9">
      <c r="A2" t="s">
        <v>31</v>
      </c>
      <c r="B2">
        <v>14</v>
      </c>
      <c r="C2">
        <v>47.5</v>
      </c>
      <c r="D2">
        <v>5190</v>
      </c>
      <c r="F2" t="s">
        <v>31</v>
      </c>
      <c r="G2">
        <v>17</v>
      </c>
      <c r="H2">
        <v>60.5</v>
      </c>
      <c r="I2">
        <v>6798</v>
      </c>
    </row>
    <row r="3" spans="1:9">
      <c r="A3" t="s">
        <v>23</v>
      </c>
      <c r="B3">
        <v>10</v>
      </c>
      <c r="C3">
        <v>40.9</v>
      </c>
      <c r="D3">
        <v>6793</v>
      </c>
      <c r="F3" t="s">
        <v>24</v>
      </c>
      <c r="G3">
        <v>5</v>
      </c>
      <c r="H3">
        <v>49.2</v>
      </c>
      <c r="I3">
        <v>6479</v>
      </c>
    </row>
    <row r="4" spans="1:9">
      <c r="A4" t="s">
        <v>36</v>
      </c>
      <c r="B4">
        <v>8</v>
      </c>
      <c r="C4">
        <v>20.5</v>
      </c>
      <c r="D4">
        <v>4882</v>
      </c>
      <c r="F4" t="s">
        <v>23</v>
      </c>
      <c r="G4">
        <v>11</v>
      </c>
      <c r="H4">
        <v>43.9</v>
      </c>
      <c r="I4">
        <v>7393</v>
      </c>
    </row>
    <row r="5" spans="1:9">
      <c r="A5" t="s">
        <v>35</v>
      </c>
      <c r="B5">
        <v>10</v>
      </c>
      <c r="C5">
        <v>20</v>
      </c>
      <c r="D5">
        <v>4375</v>
      </c>
      <c r="F5" t="s">
        <v>33</v>
      </c>
      <c r="G5">
        <v>10</v>
      </c>
      <c r="H5">
        <v>36.8</v>
      </c>
      <c r="I5">
        <v>6317</v>
      </c>
    </row>
    <row r="6" spans="1:9">
      <c r="A6" t="s">
        <v>33</v>
      </c>
      <c r="B6">
        <v>6</v>
      </c>
      <c r="C6">
        <v>19.8</v>
      </c>
      <c r="D6">
        <v>1400</v>
      </c>
      <c r="F6" t="s">
        <v>35</v>
      </c>
      <c r="G6">
        <v>11</v>
      </c>
      <c r="H6">
        <v>23</v>
      </c>
      <c r="I6">
        <v>5575</v>
      </c>
    </row>
    <row r="7" spans="1:9">
      <c r="A7" t="s">
        <v>25</v>
      </c>
      <c r="B7">
        <v>3</v>
      </c>
      <c r="C7">
        <v>14</v>
      </c>
      <c r="D7">
        <v>1329</v>
      </c>
      <c r="F7" t="s">
        <v>36</v>
      </c>
      <c r="G7">
        <v>10</v>
      </c>
      <c r="H7">
        <v>22.5</v>
      </c>
      <c r="I7">
        <v>5181</v>
      </c>
    </row>
    <row r="8" spans="1:9">
      <c r="A8" t="s">
        <v>26</v>
      </c>
      <c r="B8">
        <v>4</v>
      </c>
      <c r="C8">
        <v>12</v>
      </c>
      <c r="D8">
        <v>2280</v>
      </c>
      <c r="F8" t="s">
        <v>27</v>
      </c>
      <c r="G8">
        <v>4</v>
      </c>
      <c r="H8">
        <v>22</v>
      </c>
      <c r="I8">
        <v>4216</v>
      </c>
    </row>
    <row r="9" spans="1:9">
      <c r="A9" t="s">
        <v>34</v>
      </c>
      <c r="B9">
        <v>6</v>
      </c>
      <c r="C9">
        <v>9.5</v>
      </c>
      <c r="D9">
        <v>1184</v>
      </c>
      <c r="F9" t="s">
        <v>34</v>
      </c>
      <c r="G9">
        <v>8</v>
      </c>
      <c r="H9">
        <v>19.5</v>
      </c>
      <c r="I9">
        <v>3820</v>
      </c>
    </row>
    <row r="10" spans="1:9">
      <c r="A10" t="s">
        <v>22</v>
      </c>
      <c r="B10">
        <v>5</v>
      </c>
      <c r="C10">
        <v>8.5</v>
      </c>
      <c r="D10">
        <v>1498</v>
      </c>
      <c r="F10" t="s">
        <v>32</v>
      </c>
      <c r="G10">
        <v>4</v>
      </c>
      <c r="H10">
        <v>18.48</v>
      </c>
      <c r="I10">
        <v>3675</v>
      </c>
    </row>
    <row r="11" spans="1:9">
      <c r="A11" t="s">
        <v>21</v>
      </c>
      <c r="B11">
        <v>1</v>
      </c>
      <c r="C11">
        <v>1.5</v>
      </c>
      <c r="D11">
        <v>199</v>
      </c>
      <c r="F11" t="s">
        <v>26</v>
      </c>
      <c r="G11">
        <v>5</v>
      </c>
      <c r="H11">
        <v>16</v>
      </c>
      <c r="I11">
        <v>3080</v>
      </c>
    </row>
    <row r="12" spans="1:9">
      <c r="A12" t="s">
        <v>32</v>
      </c>
      <c r="B12">
        <v>1</v>
      </c>
      <c r="C12">
        <v>1.5</v>
      </c>
      <c r="D12">
        <v>280</v>
      </c>
      <c r="F12" t="s">
        <v>25</v>
      </c>
      <c r="G12">
        <v>4</v>
      </c>
      <c r="H12">
        <v>15</v>
      </c>
      <c r="I12">
        <v>1529</v>
      </c>
    </row>
    <row r="13" spans="1:9">
      <c r="A13" t="s">
        <v>24</v>
      </c>
      <c r="B13">
        <v>1</v>
      </c>
      <c r="C13">
        <v>1</v>
      </c>
      <c r="D13">
        <v>169</v>
      </c>
      <c r="F13" t="s">
        <v>22</v>
      </c>
      <c r="G13">
        <v>5</v>
      </c>
      <c r="H13">
        <v>8.5</v>
      </c>
      <c r="I13">
        <v>1498</v>
      </c>
    </row>
    <row r="14" spans="1:9">
      <c r="A14" t="s">
        <v>27</v>
      </c>
      <c r="B14">
        <v>1</v>
      </c>
      <c r="C14">
        <v>1</v>
      </c>
      <c r="D14">
        <v>169</v>
      </c>
      <c r="F14" t="s">
        <v>30</v>
      </c>
      <c r="G14">
        <v>1</v>
      </c>
      <c r="H14">
        <v>6</v>
      </c>
      <c r="I14">
        <v>1200</v>
      </c>
    </row>
    <row r="15" spans="1:9">
      <c r="A15" t="s">
        <v>30</v>
      </c>
      <c r="B15">
        <v>0</v>
      </c>
      <c r="C15">
        <v>0</v>
      </c>
      <c r="D15">
        <v>0</v>
      </c>
      <c r="F15" t="s">
        <v>21</v>
      </c>
      <c r="G15">
        <v>1</v>
      </c>
      <c r="H15">
        <v>1.5</v>
      </c>
      <c r="I15">
        <v>199</v>
      </c>
    </row>
  </sheetData>
  <pageMargins left="0.75" right="0.75" top="1" bottom="1" header="0.5" footer="0.5"/>
  <headerFooter/>
  <tableParts count="2">
    <tablePart r:id="rId1"/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6"/>
  <sheetViews>
    <sheetView workbookViewId="0">
      <selection activeCell="G6" sqref="G6"/>
    </sheetView>
  </sheetViews>
  <sheetFormatPr defaultColWidth="8.72727272727273" defaultRowHeight="14"/>
  <sheetData>
    <row r="1" ht="14.75" customHeight="1" spans="1:13">
      <c r="A1" t="s">
        <v>51</v>
      </c>
      <c r="B1" t="s">
        <v>52</v>
      </c>
      <c r="C1" t="s">
        <v>17</v>
      </c>
      <c r="D1" t="s">
        <v>18</v>
      </c>
      <c r="E1" t="s">
        <v>19</v>
      </c>
      <c r="J1" s="4" t="s">
        <v>84</v>
      </c>
      <c r="K1" s="4" t="s">
        <v>85</v>
      </c>
      <c r="L1" s="5" t="s">
        <v>86</v>
      </c>
      <c r="M1" s="6" t="s">
        <v>87</v>
      </c>
    </row>
    <row r="2" ht="14.75" customHeight="1" spans="1:13">
      <c r="A2" t="s">
        <v>59</v>
      </c>
      <c r="B2" s="7" t="s">
        <v>60</v>
      </c>
      <c r="C2">
        <v>60</v>
      </c>
      <c r="D2">
        <f t="array" ref="D2">SUMPRODUCT(SUMIF(全光组网!A:A,$J$2:$J$16,全光组网!B:B)*($M$2:$M$16=B2))</f>
        <v>12</v>
      </c>
      <c r="E2" s="8">
        <f t="shared" ref="E2:E13" si="0">D2/C2</f>
        <v>0.2</v>
      </c>
      <c r="J2" s="4" t="s">
        <v>33</v>
      </c>
      <c r="K2" s="4" t="s">
        <v>41</v>
      </c>
      <c r="L2" s="4" t="s">
        <v>88</v>
      </c>
      <c r="M2" s="9" t="s">
        <v>61</v>
      </c>
    </row>
    <row r="3" ht="14.75" customHeight="1" spans="1:13">
      <c r="A3" t="s">
        <v>59</v>
      </c>
      <c r="B3" s="7" t="s">
        <v>61</v>
      </c>
      <c r="C3">
        <v>60</v>
      </c>
      <c r="D3">
        <f t="array" ref="D3">SUMPRODUCT(SUMIF(全光组网!A:A,$J$2:$J$16,全光组网!B:B)*($M$2:$M$16=B3))</f>
        <v>29</v>
      </c>
      <c r="E3" s="8">
        <f t="shared" si="0"/>
        <v>0.483333333333333</v>
      </c>
      <c r="J3" s="9" t="s">
        <v>27</v>
      </c>
      <c r="K3" s="9" t="s">
        <v>41</v>
      </c>
      <c r="L3" s="9" t="s">
        <v>88</v>
      </c>
      <c r="M3" s="9" t="s">
        <v>61</v>
      </c>
    </row>
    <row r="4" ht="14.75" customHeight="1" spans="1:13">
      <c r="A4" t="s">
        <v>59</v>
      </c>
      <c r="B4" s="7" t="s">
        <v>63</v>
      </c>
      <c r="C4">
        <v>60</v>
      </c>
      <c r="D4">
        <f t="array" ref="D4">SUMPRODUCT(SUMIF(全光组网!A:A,$J$2:$J$16,全光组网!B:B)*($M$2:$M$16=B4))</f>
        <v>10</v>
      </c>
      <c r="E4" s="8">
        <f t="shared" si="0"/>
        <v>0.166666666666667</v>
      </c>
      <c r="J4" s="9" t="s">
        <v>26</v>
      </c>
      <c r="K4" s="9" t="s">
        <v>43</v>
      </c>
      <c r="L4" s="9" t="s">
        <v>89</v>
      </c>
      <c r="M4" s="9" t="s">
        <v>61</v>
      </c>
    </row>
    <row r="5" ht="14.75" customHeight="1" spans="1:13">
      <c r="A5" t="s">
        <v>59</v>
      </c>
      <c r="B5" s="7" t="s">
        <v>65</v>
      </c>
      <c r="C5">
        <v>45</v>
      </c>
      <c r="D5">
        <f t="array" ref="D5">SUMPRODUCT(SUMIF(全光组网!A:A,$J$2:$J$16,全光组网!B:B)*($M$2:$M$16=B5))</f>
        <v>3</v>
      </c>
      <c r="E5" s="8">
        <f t="shared" si="0"/>
        <v>0.0666666666666667</v>
      </c>
      <c r="J5" s="9" t="s">
        <v>21</v>
      </c>
      <c r="K5" s="9" t="s">
        <v>43</v>
      </c>
      <c r="L5" s="9" t="s">
        <v>89</v>
      </c>
      <c r="M5" s="9" t="s">
        <v>61</v>
      </c>
    </row>
    <row r="6" ht="14.75" customHeight="1" spans="1:13">
      <c r="A6" t="s">
        <v>40</v>
      </c>
      <c r="B6" s="7" t="s">
        <v>41</v>
      </c>
      <c r="C6">
        <v>30</v>
      </c>
      <c r="D6">
        <f t="array" ref="D6">SUMPRODUCT(SUMIF(全光组网!A:A,$J$2:$J$16,全光组网!B:B)*($K$2:$K$16=B6))</f>
        <v>20</v>
      </c>
      <c r="E6" s="8">
        <f t="shared" si="0"/>
        <v>0.666666666666667</v>
      </c>
      <c r="J6" s="9" t="s">
        <v>32</v>
      </c>
      <c r="K6" s="9" t="s">
        <v>44</v>
      </c>
      <c r="L6" s="9" t="s">
        <v>89</v>
      </c>
      <c r="M6" s="9" t="s">
        <v>60</v>
      </c>
    </row>
    <row r="7" ht="14.75" customHeight="1" spans="1:13">
      <c r="A7" t="s">
        <v>40</v>
      </c>
      <c r="B7" s="7" t="s">
        <v>43</v>
      </c>
      <c r="C7">
        <v>30</v>
      </c>
      <c r="D7">
        <f t="array" ref="D7">SUMPRODUCT(SUMIF(全光组网!A:A,$J$2:$J$16,全光组网!B:B)*($K$2:$K$16=B7))</f>
        <v>9</v>
      </c>
      <c r="E7" s="8">
        <f t="shared" si="0"/>
        <v>0.3</v>
      </c>
      <c r="J7" s="9" t="s">
        <v>24</v>
      </c>
      <c r="K7" s="9" t="s">
        <v>44</v>
      </c>
      <c r="L7" s="9" t="s">
        <v>89</v>
      </c>
      <c r="M7" s="9" t="s">
        <v>60</v>
      </c>
    </row>
    <row r="8" ht="14.75" customHeight="1" spans="1:13">
      <c r="A8" t="s">
        <v>40</v>
      </c>
      <c r="B8" s="7" t="s">
        <v>44</v>
      </c>
      <c r="C8">
        <v>30</v>
      </c>
      <c r="D8">
        <f t="array" ref="D8">SUMPRODUCT(SUMIF(全光组网!A:A,$J$2:$J$16,全光组网!B:B)*($K$2:$K$16=B8))</f>
        <v>3</v>
      </c>
      <c r="E8" s="8">
        <f t="shared" si="0"/>
        <v>0.1</v>
      </c>
      <c r="J8" s="9" t="s">
        <v>23</v>
      </c>
      <c r="K8" s="9" t="s">
        <v>45</v>
      </c>
      <c r="L8" s="9" t="s">
        <v>90</v>
      </c>
      <c r="M8" s="9" t="s">
        <v>60</v>
      </c>
    </row>
    <row r="9" ht="14.75" customHeight="1" spans="1:13">
      <c r="A9" t="s">
        <v>40</v>
      </c>
      <c r="B9" s="7" t="s">
        <v>45</v>
      </c>
      <c r="C9">
        <v>30</v>
      </c>
      <c r="D9">
        <f t="array" ref="D9">SUMPRODUCT(SUMIF(全光组网!A:A,$J$2:$J$16,全光组网!B:B)*($K$2:$K$16=B9))</f>
        <v>9</v>
      </c>
      <c r="E9" s="8">
        <f t="shared" si="0"/>
        <v>0.3</v>
      </c>
      <c r="J9" s="9" t="s">
        <v>25</v>
      </c>
      <c r="K9" s="9" t="s">
        <v>45</v>
      </c>
      <c r="L9" s="9" t="s">
        <v>90</v>
      </c>
      <c r="M9" s="9" t="s">
        <v>60</v>
      </c>
    </row>
    <row r="10" ht="14.75" customHeight="1" spans="1:13">
      <c r="A10" t="s">
        <v>40</v>
      </c>
      <c r="B10" s="7" t="s">
        <v>46</v>
      </c>
      <c r="C10">
        <v>30</v>
      </c>
      <c r="D10">
        <f t="array" ref="D10">SUMPRODUCT(SUMIF(全光组网!A:A,$J$2:$J$16,全光组网!B:B)*($K$2:$K$16=B10))</f>
        <v>0</v>
      </c>
      <c r="E10" s="8">
        <f t="shared" si="0"/>
        <v>0</v>
      </c>
      <c r="J10" s="9" t="s">
        <v>30</v>
      </c>
      <c r="K10" s="9" t="s">
        <v>46</v>
      </c>
      <c r="L10" s="9" t="s">
        <v>90</v>
      </c>
      <c r="M10" s="9" t="s">
        <v>63</v>
      </c>
    </row>
    <row r="11" ht="14.75" customHeight="1" spans="1:13">
      <c r="A11" t="s">
        <v>40</v>
      </c>
      <c r="B11" s="7" t="s">
        <v>47</v>
      </c>
      <c r="C11">
        <v>30</v>
      </c>
      <c r="D11">
        <f t="array" ref="D11">SUMPRODUCT(SUMIF(全光组网!A:A,$J$2:$J$16,全光组网!B:B)*($K$2:$K$16=B11))</f>
        <v>10</v>
      </c>
      <c r="E11" s="8">
        <f t="shared" si="0"/>
        <v>0.333333333333333</v>
      </c>
      <c r="J11" s="9" t="s">
        <v>31</v>
      </c>
      <c r="K11" s="9" t="s">
        <v>46</v>
      </c>
      <c r="L11" s="9" t="s">
        <v>90</v>
      </c>
      <c r="M11" s="9" t="s">
        <v>63</v>
      </c>
    </row>
    <row r="12" ht="14.75" customHeight="1" spans="1:13">
      <c r="A12" t="s">
        <v>40</v>
      </c>
      <c r="B12" s="7" t="s">
        <v>48</v>
      </c>
      <c r="C12">
        <v>30</v>
      </c>
      <c r="D12">
        <f t="array" ref="D12">SUMPRODUCT(SUMIF(全光组网!A:A,$J$2:$J$16,全光组网!B:B)*($K$2:$K$16=B12))</f>
        <v>3</v>
      </c>
      <c r="E12" s="8">
        <f t="shared" si="0"/>
        <v>0.1</v>
      </c>
      <c r="J12" s="9" t="s">
        <v>34</v>
      </c>
      <c r="K12" s="9" t="s">
        <v>47</v>
      </c>
      <c r="L12" s="9" t="s">
        <v>88</v>
      </c>
      <c r="M12" s="9" t="s">
        <v>63</v>
      </c>
    </row>
    <row r="13" ht="14.75" customHeight="1" spans="1:13">
      <c r="A13" t="s">
        <v>40</v>
      </c>
      <c r="B13" s="7" t="s">
        <v>49</v>
      </c>
      <c r="C13">
        <v>25</v>
      </c>
      <c r="D13">
        <f t="array" ref="D13">SUMPRODUCT(SUMIF(全光组网!A:A,$J$2:$J$16,全光组网!B:B)*($K$2:$K$16=B13))</f>
        <v>0</v>
      </c>
      <c r="E13" s="8">
        <f t="shared" si="0"/>
        <v>0</v>
      </c>
      <c r="J13" s="9" t="s">
        <v>22</v>
      </c>
      <c r="K13" s="9" t="s">
        <v>47</v>
      </c>
      <c r="L13" s="9" t="s">
        <v>88</v>
      </c>
      <c r="M13" s="9" t="s">
        <v>63</v>
      </c>
    </row>
    <row r="14" ht="14.75" customHeight="1" spans="1:13">
      <c r="J14" s="9" t="s">
        <v>36</v>
      </c>
      <c r="K14" s="9" t="s">
        <v>48</v>
      </c>
      <c r="L14" s="9" t="s">
        <v>90</v>
      </c>
      <c r="M14" s="9" t="s">
        <v>65</v>
      </c>
    </row>
    <row r="15" ht="14.75" customHeight="1" spans="1:13">
      <c r="J15" s="9" t="s">
        <v>35</v>
      </c>
      <c r="K15" s="9" t="s">
        <v>48</v>
      </c>
      <c r="L15" s="9" t="s">
        <v>90</v>
      </c>
      <c r="M15" s="9" t="s">
        <v>65</v>
      </c>
    </row>
    <row r="16" ht="14.75" customHeight="1" spans="1:13">
      <c r="J16" s="9" t="s">
        <v>91</v>
      </c>
      <c r="K16" s="9" t="s">
        <v>92</v>
      </c>
      <c r="L16" s="9" t="s">
        <v>88</v>
      </c>
      <c r="M16" s="9" t="s">
        <v>65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3"/>
  <sheetViews>
    <sheetView workbookViewId="0">
      <selection activeCell="A1" sqref="A1"/>
    </sheetView>
  </sheetViews>
  <sheetFormatPr defaultColWidth="9" defaultRowHeight="14" outlineLevelCol="1"/>
  <sheetData>
    <row r="1" spans="1:2">
      <c r="A1" s="3" t="s">
        <v>52</v>
      </c>
      <c r="B1" s="3" t="s">
        <v>93</v>
      </c>
    </row>
    <row r="2" spans="1:2">
      <c r="A2" t="s">
        <v>21</v>
      </c>
      <c r="B2">
        <v>1036</v>
      </c>
    </row>
    <row r="3" spans="1:2">
      <c r="A3" t="s">
        <v>22</v>
      </c>
      <c r="B3">
        <v>502.5</v>
      </c>
    </row>
    <row r="4" spans="1:2">
      <c r="A4" t="s">
        <v>23</v>
      </c>
      <c r="B4">
        <v>4344</v>
      </c>
    </row>
    <row r="5" spans="1:2">
      <c r="A5" t="s">
        <v>24</v>
      </c>
      <c r="B5">
        <v>1783.5</v>
      </c>
    </row>
    <row r="6" spans="1:2">
      <c r="A6" t="s">
        <v>25</v>
      </c>
      <c r="B6">
        <v>4429</v>
      </c>
    </row>
    <row r="7" spans="1:2">
      <c r="A7" t="s">
        <v>26</v>
      </c>
      <c r="B7">
        <v>5026</v>
      </c>
    </row>
    <row r="8" spans="1:2">
      <c r="A8" t="s">
        <v>27</v>
      </c>
      <c r="B8">
        <v>3491</v>
      </c>
    </row>
    <row r="9" spans="1:2">
      <c r="A9" t="s">
        <v>30</v>
      </c>
      <c r="B9">
        <v>122.5</v>
      </c>
    </row>
    <row r="10" spans="1:2">
      <c r="A10" t="s">
        <v>31</v>
      </c>
      <c r="B10">
        <v>1339.5</v>
      </c>
    </row>
    <row r="11" spans="1:2">
      <c r="A11" t="s">
        <v>32</v>
      </c>
      <c r="B11">
        <v>1661.5</v>
      </c>
    </row>
    <row r="12" spans="1:2">
      <c r="A12" t="s">
        <v>33</v>
      </c>
      <c r="B12">
        <v>6846.5</v>
      </c>
    </row>
    <row r="13" spans="1:2">
      <c r="A13" t="s">
        <v>34</v>
      </c>
      <c r="B13">
        <v>7387</v>
      </c>
    </row>
    <row r="14" spans="1:2">
      <c r="A14" t="s">
        <v>35</v>
      </c>
      <c r="B14">
        <v>4117.5</v>
      </c>
    </row>
    <row r="15" spans="1:2">
      <c r="A15" t="s">
        <v>36</v>
      </c>
      <c r="B15">
        <v>232.38</v>
      </c>
    </row>
    <row r="16" spans="1:2">
      <c r="A16" t="s">
        <v>41</v>
      </c>
      <c r="B16">
        <v>0</v>
      </c>
    </row>
    <row r="17" spans="1:2">
      <c r="A17" t="s">
        <v>43</v>
      </c>
      <c r="B17">
        <v>0</v>
      </c>
    </row>
    <row r="18" spans="1:2">
      <c r="A18" t="s">
        <v>44</v>
      </c>
      <c r="B18">
        <v>786.5</v>
      </c>
    </row>
    <row r="19" spans="1:2">
      <c r="A19" t="s">
        <v>45</v>
      </c>
      <c r="B19">
        <v>281</v>
      </c>
    </row>
    <row r="20" spans="1:2">
      <c r="A20" t="s">
        <v>46</v>
      </c>
      <c r="B20">
        <v>0</v>
      </c>
    </row>
    <row r="21" spans="1:2">
      <c r="A21" t="s">
        <v>47</v>
      </c>
      <c r="B21">
        <v>0</v>
      </c>
    </row>
    <row r="22" spans="1:2">
      <c r="A22" t="s">
        <v>48</v>
      </c>
      <c r="B22">
        <v>0</v>
      </c>
    </row>
    <row r="23" spans="1:2">
      <c r="A23" t="s">
        <v>49</v>
      </c>
      <c r="B23">
        <v>25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"/>
  <sheetViews>
    <sheetView workbookViewId="0">
      <selection activeCell="A1" sqref="A1:D2"/>
    </sheetView>
  </sheetViews>
  <sheetFormatPr defaultColWidth="8.72727272727273" defaultRowHeight="14" outlineLevelRow="1" outlineLevelCol="3"/>
  <sheetData>
    <row r="1" ht="24" spans="1:4">
      <c r="A1" s="1" t="s">
        <v>75</v>
      </c>
      <c r="B1" s="1" t="s">
        <v>76</v>
      </c>
      <c r="C1" s="1" t="s">
        <v>77</v>
      </c>
      <c r="D1" s="1" t="s">
        <v>78</v>
      </c>
    </row>
    <row r="2" spans="1:4">
      <c r="A2" s="2">
        <v>11117.68</v>
      </c>
      <c r="B2" s="2">
        <v>8941.02</v>
      </c>
      <c r="C2" s="2">
        <v>2010</v>
      </c>
      <c r="D2" s="2">
        <v>0.89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模板1</vt:lpstr>
      <vt:lpstr>高套</vt:lpstr>
      <vt:lpstr>全光组网</vt:lpstr>
      <vt:lpstr>完美一单</vt:lpstr>
      <vt:lpstr>高装高套</vt:lpstr>
      <vt:lpstr>红黄牌高套</vt:lpstr>
      <vt:lpstr>商机统计</vt:lpstr>
      <vt:lpstr>交付高装</vt:lpstr>
      <vt:lpstr>激励</vt:lpstr>
      <vt:lpstr>积分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Conan Edogawa</cp:lastModifiedBy>
  <dcterms:created xsi:type="dcterms:W3CDTF">2026-02-25T03:20:00Z</dcterms:created>
  <dcterms:modified xsi:type="dcterms:W3CDTF">2026-07-01T07:32:43Z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D506984BD1C4472392BDAB583C254F00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